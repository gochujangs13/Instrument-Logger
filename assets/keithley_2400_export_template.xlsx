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2531_mmm_com/Documents/Desktop/"/>
    </mc:Choice>
  </mc:AlternateContent>
  <xr:revisionPtr revIDLastSave="0" documentId="8_{44176FD4-D932-4E1B-B938-B103B18C5B1B}" xr6:coauthVersionLast="47" xr6:coauthVersionMax="47" xr10:uidLastSave="{00000000-0000-0000-0000-000000000000}"/>
  <bookViews>
    <workbookView xWindow="57480" yWindow="10065" windowWidth="29040" windowHeight="15720" xr2:uid="{00000000-000D-0000-FFFF-FFFF00000000}"/>
  </bookViews>
  <sheets>
    <sheet name="대시보드" sheetId="1" r:id="rId1"/>
    <sheet name="Raw Data" sheetId="2" r:id="rId2"/>
    <sheet name="_ChartData" sheetId="3" state="hidden" r:id="rId3"/>
  </sheets>
  <definedNames>
    <definedName name="_xlnm._FilterDatabase" localSheetId="0" hidden="1">대시보드!$B$4:$I$6</definedName>
    <definedName name="_xlnm.Print_Area" localSheetId="0">대시보드!$A$1:$R$40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7" i="3" l="1"/>
  <c r="C287" i="3"/>
  <c r="D286" i="3"/>
  <c r="C286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C6" i="1"/>
  <c r="A287" i="3" s="1"/>
  <c r="C5" i="1"/>
  <c r="A286" i="3" s="1"/>
</calcChain>
</file>

<file path=xl/sharedStrings.xml><?xml version="1.0" encoding="utf-8"?>
<sst xmlns="http://schemas.openxmlformats.org/spreadsheetml/2006/main" count="632" uniqueCount="43">
  <si>
    <t>KEITHLEY 2400 · INTERACTIVE TEST DASHBOARD</t>
  </si>
  <si>
    <t>샘플 선택  |  체크된 샘플만 아래 그래프에 표시됩니다.</t>
  </si>
  <si>
    <t>선택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</si>
  <si>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</si>
  <si>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</si>
  <si>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</si>
  <si>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</si>
  <si>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</si>
  <si>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</si>
  <si>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</si>
  <si>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</si>
  <si>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시간 · 4-Wire · 전압 인가</t>
  </si>
  <si>
    <t>9.0000 V</t>
  </si>
  <si>
    <t>0.01000 A</t>
  </si>
  <si>
    <t>OK</t>
  </si>
  <si>
    <t>표시 항목 선택</t>
  </si>
  <si>
    <t>Voltage (V)  ━━━  실선</t>
  </si>
  <si>
    <t>Current (A)  ━ ━  굵은 점선</t>
  </si>
  <si>
    <t>Resistance (Ω)  ·····  얇은 점선</t>
  </si>
  <si>
    <t>전압 / 전류 / 저항 그래프</t>
  </si>
  <si>
    <t>Resistance (Ω)</t>
  </si>
  <si>
    <t>※ 왼쪽 Y축은 Voltage(V), 오른쪽 Y축은 Current(A)입니다. Resistance(Ω)는 원점을 유지한 선형 변환으로 같은 그래프에 표시하며, 오른쪽 녹색 보조 눈금은 실제 저항 단위입니다.</t>
  </si>
  <si>
    <t>체크박스 변경 후 그래프가 즉시 갱신됩니다. 새 샘플을 추가할 때는 Raw Data 시트의 기존 5열 블록 구조와 1행 샘플명 위치를 유지해 주세요.</t>
  </si>
  <si>
    <t>a</t>
  </si>
  <si>
    <t>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</si>
  <si>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</si>
  <si>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</si>
  <si>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</si>
  <si>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</si>
  <si>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</si>
  <si>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</si>
  <si>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</si>
  <si>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</si>
  <si>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</si>
  <si>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</si>
  <si>
    <t>Sample</t>
  </si>
  <si>
    <t>Metric</t>
  </si>
  <si>
    <t>Time</t>
  </si>
  <si>
    <t>Display</t>
  </si>
  <si>
    <t>Raw</t>
  </si>
  <si>
    <t>Voltage</t>
  </si>
  <si>
    <t>Current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</si>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</sst>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6" x14ac:knownFonts="1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B53"/>
      <name val="Calibri"/>
      <family val="2"/>
      <scheme val="minor"/>
    </font>
    <font>
      <sz val="11"/>
      <color rgb="FF0F766E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11"/>
      <color rgb="FF42B7E8"/>
      <name val="Calibri"/>
      <family val="2"/>
      <scheme val="minor"/>
    </font>
    <font>
      <b/>
      <sz val="11"/>
      <color rgb="FFF5A623"/>
      <name val="Calibri"/>
      <family val="2"/>
      <scheme val="minor"/>
    </font>
    <font>
      <b/>
      <sz val="11"/>
      <color rgb="FF28B779"/>
      <name val="Calibri"/>
      <family val="2"/>
      <scheme val="minor"/>
    </font>
    <font>
      <b/>
      <sz val="11"/>
      <color rgb="FF0F9D67"/>
      <name val="Calibri"/>
      <family val="2"/>
      <scheme val="minor"/>
    </font>
    <font>
      <sz val="9"/>
      <color rgb="FF9A6700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CFE2F3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377D9F"/>
        <bgColor indexed="64"/>
      </patternFill>
    </fill>
    <fill>
      <patternFill patternType="solid">
        <fgColor rgb="FF173A5B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2D5B7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2EA"/>
      </bottom>
      <diagonal/>
    </border>
    <border>
      <left/>
      <right/>
      <top/>
      <bottom style="thin">
        <color rgb="FF1B35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5" fillId="7" borderId="0" xfId="0" applyFont="1" applyFill="1" applyAlignment="1">
      <alignment horizontal="center"/>
    </xf>
    <xf numFmtId="164" fontId="14" fillId="0" borderId="0" xfId="0" applyNumberFormat="1" applyFont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1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334E68"/>
                </a:solidFill>
              </a:defRPr>
            </a:pPr>
            <a:r>
              <a:rPr lang="en-US" sz="1200" b="1" baseline="0">
                <a:solidFill>
                  <a:srgbClr val="334E68"/>
                </a:solidFill>
              </a:rPr>
              <a:t>전압 / 전류 / 저항 그래프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 · Voltage</c:v>
          </c:tx>
          <c:spPr>
            <a:ln w="25400">
              <a:solidFill>
                <a:srgbClr val="42B7E8"/>
              </a:solidFill>
              <a:prstDash val="solid"/>
            </a:ln>
          </c:spPr>
          <c:marker>
            <c:symbol val="none"/>
          </c:marker>
          <c:xVal>
            <c:numRef>
              <c:f>_ChartData!$C$2:$C$48</c:f>
              <c:numCache>
                <c:formatCode>General</c:formatCode>
                <c:ptCount val="47"/>
                <c:pt idx="0">
                  <c:v>2.8980000000000001</c:v>
                </c:pt>
                <c:pt idx="1">
                  <c:v>3.4249999999999998</c:v>
                </c:pt>
                <c:pt idx="2">
                  <c:v>3.6640000000000001</c:v>
                </c:pt>
                <c:pt idx="3">
                  <c:v>3.84</c:v>
                </c:pt>
                <c:pt idx="4">
                  <c:v>4.0960000000000001</c:v>
                </c:pt>
                <c:pt idx="5">
                  <c:v>4.2889999999999997</c:v>
                </c:pt>
                <c:pt idx="6">
                  <c:v>4.51</c:v>
                </c:pt>
                <c:pt idx="7">
                  <c:v>4.7190000000000003</c:v>
                </c:pt>
                <c:pt idx="8">
                  <c:v>4.9260000000000002</c:v>
                </c:pt>
                <c:pt idx="9">
                  <c:v>5.1509999999999998</c:v>
                </c:pt>
                <c:pt idx="10">
                  <c:v>5.359</c:v>
                </c:pt>
                <c:pt idx="11">
                  <c:v>5.5670000000000002</c:v>
                </c:pt>
                <c:pt idx="12">
                  <c:v>5.79</c:v>
                </c:pt>
                <c:pt idx="13">
                  <c:v>5.9980000000000002</c:v>
                </c:pt>
                <c:pt idx="14">
                  <c:v>6.2060000000000004</c:v>
                </c:pt>
                <c:pt idx="15">
                  <c:v>6.431</c:v>
                </c:pt>
                <c:pt idx="16">
                  <c:v>6.62</c:v>
                </c:pt>
                <c:pt idx="17">
                  <c:v>6.8449999999999998</c:v>
                </c:pt>
                <c:pt idx="18">
                  <c:v>7.0519999999999996</c:v>
                </c:pt>
                <c:pt idx="19">
                  <c:v>7.26</c:v>
                </c:pt>
                <c:pt idx="20">
                  <c:v>7.484</c:v>
                </c:pt>
                <c:pt idx="21">
                  <c:v>7.6760000000000002</c:v>
                </c:pt>
                <c:pt idx="22">
                  <c:v>7.8979999999999997</c:v>
                </c:pt>
                <c:pt idx="23">
                  <c:v>8.1080000000000005</c:v>
                </c:pt>
                <c:pt idx="24">
                  <c:v>8.3149999999999995</c:v>
                </c:pt>
                <c:pt idx="25">
                  <c:v>8.5389999999999997</c:v>
                </c:pt>
                <c:pt idx="26">
                  <c:v>8.7309999999999999</c:v>
                </c:pt>
                <c:pt idx="27">
                  <c:v>8.9540000000000006</c:v>
                </c:pt>
                <c:pt idx="28">
                  <c:v>9.1620000000000008</c:v>
                </c:pt>
                <c:pt idx="29">
                  <c:v>9.3689999999999998</c:v>
                </c:pt>
                <c:pt idx="30">
                  <c:v>9.5779999999999994</c:v>
                </c:pt>
                <c:pt idx="31">
                  <c:v>9.7840000000000007</c:v>
                </c:pt>
                <c:pt idx="32">
                  <c:v>9.9920000000000009</c:v>
                </c:pt>
                <c:pt idx="33">
                  <c:v>10.201000000000001</c:v>
                </c:pt>
                <c:pt idx="34">
                  <c:v>10.407999999999999</c:v>
                </c:pt>
                <c:pt idx="35">
                  <c:v>10.616</c:v>
                </c:pt>
                <c:pt idx="36">
                  <c:v>10.839</c:v>
                </c:pt>
                <c:pt idx="37">
                  <c:v>11.031000000000001</c:v>
                </c:pt>
                <c:pt idx="38">
                  <c:v>11.255000000000001</c:v>
                </c:pt>
                <c:pt idx="39">
                  <c:v>11.462</c:v>
                </c:pt>
                <c:pt idx="40">
                  <c:v>11.670999999999999</c:v>
                </c:pt>
                <c:pt idx="41">
                  <c:v>11.878</c:v>
                </c:pt>
                <c:pt idx="42">
                  <c:v>12.085000000000001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12.930999999999999</c:v>
                </c:pt>
              </c:numCache>
            </c:numRef>
          </c:xVal>
          <c:yVal>
            <c:numRef>
              <c:f>_ChartData!$D$2:$D$48</c:f>
              <c:numCache>
                <c:formatCode>General</c:formatCode>
                <c:ptCount val="47"/>
                <c:pt idx="0">
                  <c:v>9.0000889999999991</c:v>
                </c:pt>
                <c:pt idx="1">
                  <c:v>8.9999780000000005</c:v>
                </c:pt>
                <c:pt idx="2">
                  <c:v>9.0000409999999995</c:v>
                </c:pt>
                <c:pt idx="3">
                  <c:v>8.9999149999999997</c:v>
                </c:pt>
                <c:pt idx="4">
                  <c:v>9.0001750000000005</c:v>
                </c:pt>
                <c:pt idx="5">
                  <c:v>9.0001560000000005</c:v>
                </c:pt>
                <c:pt idx="6">
                  <c:v>8.9999990000000007</c:v>
                </c:pt>
                <c:pt idx="7">
                  <c:v>9.0000669999999996</c:v>
                </c:pt>
                <c:pt idx="8">
                  <c:v>8.9999830000000003</c:v>
                </c:pt>
                <c:pt idx="9">
                  <c:v>8.9999939999999992</c:v>
                </c:pt>
                <c:pt idx="10">
                  <c:v>8.9998919999999991</c:v>
                </c:pt>
                <c:pt idx="11">
                  <c:v>8.9999800000000008</c:v>
                </c:pt>
                <c:pt idx="12">
                  <c:v>9.000019</c:v>
                </c:pt>
                <c:pt idx="13">
                  <c:v>9.0000739999999997</c:v>
                </c:pt>
                <c:pt idx="14">
                  <c:v>8.9999690000000001</c:v>
                </c:pt>
                <c:pt idx="15">
                  <c:v>9.0000330000000002</c:v>
                </c:pt>
                <c:pt idx="16">
                  <c:v>9.0000119999999999</c:v>
                </c:pt>
                <c:pt idx="17">
                  <c:v>9.0000640000000001</c:v>
                </c:pt>
                <c:pt idx="18">
                  <c:v>9.000057</c:v>
                </c:pt>
                <c:pt idx="19">
                  <c:v>9.0001230000000003</c:v>
                </c:pt>
                <c:pt idx="20">
                  <c:v>9.0000440000000008</c:v>
                </c:pt>
                <c:pt idx="21">
                  <c:v>9.000019</c:v>
                </c:pt>
                <c:pt idx="22">
                  <c:v>9.0001069999999999</c:v>
                </c:pt>
                <c:pt idx="23">
                  <c:v>9.000095</c:v>
                </c:pt>
                <c:pt idx="24">
                  <c:v>9.0000540000000004</c:v>
                </c:pt>
                <c:pt idx="25">
                  <c:v>9</c:v>
                </c:pt>
                <c:pt idx="26">
                  <c:v>9.0000350000000005</c:v>
                </c:pt>
                <c:pt idx="27">
                  <c:v>9.0000029999999995</c:v>
                </c:pt>
                <c:pt idx="28">
                  <c:v>8.9999889999999994</c:v>
                </c:pt>
                <c:pt idx="29">
                  <c:v>9.0000370000000007</c:v>
                </c:pt>
                <c:pt idx="30">
                  <c:v>8.9999649999999995</c:v>
                </c:pt>
                <c:pt idx="31">
                  <c:v>8.9999819999999993</c:v>
                </c:pt>
                <c:pt idx="32">
                  <c:v>9.0000440000000008</c:v>
                </c:pt>
                <c:pt idx="33">
                  <c:v>9.0000119999999999</c:v>
                </c:pt>
                <c:pt idx="34">
                  <c:v>9.0000440000000008</c:v>
                </c:pt>
                <c:pt idx="35">
                  <c:v>9</c:v>
                </c:pt>
                <c:pt idx="36">
                  <c:v>9.0000230000000006</c:v>
                </c:pt>
                <c:pt idx="37">
                  <c:v>9.0000470000000004</c:v>
                </c:pt>
                <c:pt idx="38">
                  <c:v>9.0000280000000004</c:v>
                </c:pt>
                <c:pt idx="39">
                  <c:v>9.0001099999999994</c:v>
                </c:pt>
                <c:pt idx="40">
                  <c:v>8.9999780000000005</c:v>
                </c:pt>
                <c:pt idx="41">
                  <c:v>9.0000099999999996</c:v>
                </c:pt>
                <c:pt idx="42">
                  <c:v>8.9999710000000004</c:v>
                </c:pt>
                <c:pt idx="43">
                  <c:v>9.0000990000000005</c:v>
                </c:pt>
                <c:pt idx="44">
                  <c:v>9.0001470000000001</c:v>
                </c:pt>
                <c:pt idx="45">
                  <c:v>9.0001569999999997</c:v>
                </c:pt>
                <c:pt idx="46">
                  <c:v>9.0000300000000006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7-430B-8520-F9704D1E7B42}"/>
            </c:ext>
          </c:extLst>
        </c:ser>
        <c:ser>
          <c:idx val="1"/>
          <c:order val="1"/>
          <c:tx>
            <c:v>b · Voltage</c:v>
          </c:tx>
          <c:spPr>
            <a:ln w="25400">
              <a:solidFill>
                <a:srgbClr val="F5A623"/>
              </a:solidFill>
              <a:prstDash val="solid"/>
            </a:ln>
          </c:spPr>
          <c:marker>
            <c:symbol val="none"/>
          </c:marker>
          <c:xVal>
            <c:numRef>
              <c:f>_ChartData!$C$143:$C$189</c:f>
              <c:numCache>
                <c:formatCode>General</c:formatCode>
                <c:ptCount val="47"/>
                <c:pt idx="0">
                  <c:v>2.9</c:v>
                </c:pt>
                <c:pt idx="1">
                  <c:v>3.3940000000000001</c:v>
                </c:pt>
                <c:pt idx="2">
                  <c:v>3.6659999999999999</c:v>
                </c:pt>
                <c:pt idx="3">
                  <c:v>3.8250000000000002</c:v>
                </c:pt>
                <c:pt idx="4">
                  <c:v>4.0810000000000004</c:v>
                </c:pt>
                <c:pt idx="5">
                  <c:v>4.3070000000000004</c:v>
                </c:pt>
                <c:pt idx="6">
                  <c:v>4.4969999999999999</c:v>
                </c:pt>
                <c:pt idx="7">
                  <c:v>4.7190000000000003</c:v>
                </c:pt>
                <c:pt idx="8">
                  <c:v>4.9279999999999999</c:v>
                </c:pt>
                <c:pt idx="9">
                  <c:v>5.1349999999999998</c:v>
                </c:pt>
                <c:pt idx="10">
                  <c:v>5.36</c:v>
                </c:pt>
                <c:pt idx="11">
                  <c:v>5.5519999999999996</c:v>
                </c:pt>
                <c:pt idx="12">
                  <c:v>5.7750000000000004</c:v>
                </c:pt>
                <c:pt idx="13">
                  <c:v>5.9829999999999997</c:v>
                </c:pt>
                <c:pt idx="14">
                  <c:v>6.1890000000000001</c:v>
                </c:pt>
                <c:pt idx="15">
                  <c:v>6.399</c:v>
                </c:pt>
                <c:pt idx="16">
                  <c:v>6.6059999999999999</c:v>
                </c:pt>
                <c:pt idx="17">
                  <c:v>6.8120000000000003</c:v>
                </c:pt>
                <c:pt idx="18">
                  <c:v>7.0209999999999999</c:v>
                </c:pt>
                <c:pt idx="19">
                  <c:v>7.2290000000000001</c:v>
                </c:pt>
                <c:pt idx="20">
                  <c:v>7.4370000000000003</c:v>
                </c:pt>
                <c:pt idx="21">
                  <c:v>7.6449999999999996</c:v>
                </c:pt>
                <c:pt idx="22">
                  <c:v>7.8520000000000003</c:v>
                </c:pt>
                <c:pt idx="23">
                  <c:v>8.06</c:v>
                </c:pt>
                <c:pt idx="24">
                  <c:v>8.2680000000000007</c:v>
                </c:pt>
                <c:pt idx="25">
                  <c:v>8.4770000000000003</c:v>
                </c:pt>
                <c:pt idx="26">
                  <c:v>8.6989999999999998</c:v>
                </c:pt>
                <c:pt idx="27">
                  <c:v>8.9060000000000006</c:v>
                </c:pt>
                <c:pt idx="28">
                  <c:v>9.1140000000000008</c:v>
                </c:pt>
                <c:pt idx="29">
                  <c:v>9.3209999999999997</c:v>
                </c:pt>
                <c:pt idx="30">
                  <c:v>9.5449999999999999</c:v>
                </c:pt>
                <c:pt idx="31">
                  <c:v>9.7379999999999995</c:v>
                </c:pt>
                <c:pt idx="32">
                  <c:v>9.9600000000000009</c:v>
                </c:pt>
                <c:pt idx="33">
                  <c:v>10.167999999999999</c:v>
                </c:pt>
                <c:pt idx="34">
                  <c:v>10.375999999999999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11.622999999999999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12.468999999999999</c:v>
                </c:pt>
                <c:pt idx="45">
                  <c:v>12.677</c:v>
                </c:pt>
                <c:pt idx="46">
                  <c:v>12.885999999999999</c:v>
                </c:pt>
              </c:numCache>
            </c:numRef>
          </c:xVal>
          <c:yVal>
            <c:numRef>
              <c:f>_ChartData!$D$143:$D$189</c:f>
              <c:numCache>
                <c:formatCode>General</c:formatCode>
                <c:ptCount val="47"/>
                <c:pt idx="0">
                  <c:v>9.0001390000000008</c:v>
                </c:pt>
                <c:pt idx="1">
                  <c:v>9.0000020000000003</c:v>
                </c:pt>
                <c:pt idx="2">
                  <c:v>8.9998229999999992</c:v>
                </c:pt>
                <c:pt idx="3">
                  <c:v>9.0001250000000006</c:v>
                </c:pt>
                <c:pt idx="4">
                  <c:v>9.0001470000000001</c:v>
                </c:pt>
                <c:pt idx="5">
                  <c:v>9.0000640000000001</c:v>
                </c:pt>
                <c:pt idx="6">
                  <c:v>9.0000129999999992</c:v>
                </c:pt>
                <c:pt idx="7">
                  <c:v>8.9999660000000006</c:v>
                </c:pt>
                <c:pt idx="8">
                  <c:v>9.0000309999999999</c:v>
                </c:pt>
                <c:pt idx="9">
                  <c:v>9.0001339999999992</c:v>
                </c:pt>
                <c:pt idx="10">
                  <c:v>8.9999099999999999</c:v>
                </c:pt>
                <c:pt idx="11">
                  <c:v>9.0000499999999999</c:v>
                </c:pt>
                <c:pt idx="12">
                  <c:v>8.9999269999999996</c:v>
                </c:pt>
                <c:pt idx="13">
                  <c:v>9.0000739999999997</c:v>
                </c:pt>
                <c:pt idx="14">
                  <c:v>9.0000499999999999</c:v>
                </c:pt>
                <c:pt idx="15">
                  <c:v>9.0000300000000006</c:v>
                </c:pt>
                <c:pt idx="16">
                  <c:v>9.0000499999999999</c:v>
                </c:pt>
                <c:pt idx="17">
                  <c:v>9.0000719999999994</c:v>
                </c:pt>
                <c:pt idx="18">
                  <c:v>9.0000610000000005</c:v>
                </c:pt>
                <c:pt idx="19">
                  <c:v>9.0000719999999994</c:v>
                </c:pt>
                <c:pt idx="20">
                  <c:v>9.0000850000000003</c:v>
                </c:pt>
                <c:pt idx="21">
                  <c:v>9.0000280000000004</c:v>
                </c:pt>
                <c:pt idx="22">
                  <c:v>9.0001139999999999</c:v>
                </c:pt>
                <c:pt idx="23">
                  <c:v>9.0000630000000008</c:v>
                </c:pt>
                <c:pt idx="24">
                  <c:v>9.0000370000000007</c:v>
                </c:pt>
                <c:pt idx="25">
                  <c:v>8.9998749999999994</c:v>
                </c:pt>
                <c:pt idx="26">
                  <c:v>8.9999660000000006</c:v>
                </c:pt>
                <c:pt idx="27">
                  <c:v>9.0000739999999997</c:v>
                </c:pt>
                <c:pt idx="28">
                  <c:v>9.0000769999999992</c:v>
                </c:pt>
                <c:pt idx="29">
                  <c:v>9.0000640000000001</c:v>
                </c:pt>
                <c:pt idx="30">
                  <c:v>9.0001049999999996</c:v>
                </c:pt>
                <c:pt idx="31">
                  <c:v>9.0000599999999995</c:v>
                </c:pt>
                <c:pt idx="32">
                  <c:v>9.0000160000000005</c:v>
                </c:pt>
                <c:pt idx="33">
                  <c:v>8.9999610000000008</c:v>
                </c:pt>
                <c:pt idx="34">
                  <c:v>9.0001339999999992</c:v>
                </c:pt>
                <c:pt idx="35">
                  <c:v>9.0000060000000008</c:v>
                </c:pt>
                <c:pt idx="36">
                  <c:v>9.0000389999999992</c:v>
                </c:pt>
                <c:pt idx="37">
                  <c:v>9.0001510000000007</c:v>
                </c:pt>
                <c:pt idx="38">
                  <c:v>9.0000739999999997</c:v>
                </c:pt>
                <c:pt idx="39">
                  <c:v>8.9999990000000007</c:v>
                </c:pt>
                <c:pt idx="40">
                  <c:v>9.0000719999999994</c:v>
                </c:pt>
                <c:pt idx="41">
                  <c:v>8.9999929999999999</c:v>
                </c:pt>
                <c:pt idx="42">
                  <c:v>9.0001420000000003</c:v>
                </c:pt>
                <c:pt idx="43">
                  <c:v>9.0000440000000008</c:v>
                </c:pt>
                <c:pt idx="44">
                  <c:v>9.0001139999999999</c:v>
                </c:pt>
                <c:pt idx="45">
                  <c:v>9.0000699999999991</c:v>
                </c:pt>
                <c:pt idx="46">
                  <c:v>9.0001680000000004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7-430B-8520-F9704D1E7B42}"/>
            </c:ext>
          </c:extLst>
        </c:ser>
        <c:ser>
          <c:idx val="2"/>
          <c:order val="2"/>
          <c:tx>
            <c:strRef>
              <c:f>_ChartData!$A$286</c:f>
              <c:strCache>
                <c:ptCount val="1"/>
                <c:pt idx="0">
                  <c:v>a</c:v>
                </c:pt>
              </c:strCache>
            </c:strRef>
          </c:tx>
          <c:spPr>
            <a:ln w="38100">
              <a:solidFill>
                <a:srgbClr val="42B7E8"/>
              </a:solidFill>
            </a:ln>
          </c:spPr>
          <c:marker>
            <c:symbol val="none"/>
          </c:marker>
          <c:xVal>
            <c:numRef>
              <c:f>_ChartData!$C$286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_ChartData!$D$286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D7-430B-8520-F9704D1E7B42}"/>
            </c:ext>
          </c:extLst>
        </c:ser>
        <c:ser>
          <c:idx val="3"/>
          <c:order val="3"/>
          <c:tx>
            <c:strRef>
              <c:f>_ChartData!$A$287</c:f>
              <c:strCache>
                <c:ptCount val="1"/>
                <c:pt idx="0">
                  <c:v>b</c:v>
                </c:pt>
              </c:strCache>
            </c:strRef>
          </c:tx>
          <c:spPr>
            <a:ln w="38100">
              <a:solidFill>
                <a:srgbClr val="F5A623"/>
              </a:solidFill>
            </a:ln>
          </c:spPr>
          <c:marker>
            <c:symbol val="none"/>
          </c:marker>
          <c:xVal>
            <c:numRef>
              <c:f>_ChartData!$C$287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_ChartData!$D$287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D7-430B-8520-F9704D1E7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scatterChart>
        <c:scatterStyle val="lineMarker"/>
        <c:varyColors val="0"/>
        <c:ser>
          <c:idx val="4"/>
          <c:order val="4"/>
          <c:tx>
            <c:v>a · Current</c:v>
          </c:tx>
          <c:spPr>
            <a:ln w="31750">
              <a:solidFill>
                <a:srgbClr val="42B7E8"/>
              </a:solidFill>
              <a:prstDash val="dash"/>
            </a:ln>
          </c:spPr>
          <c:marker>
            <c:symbol val="none"/>
          </c:marker>
          <c:xVal>
            <c:numRef>
              <c:f>_ChartData!$C$49:$C$95</c:f>
              <c:numCache>
                <c:formatCode>General</c:formatCode>
                <c:ptCount val="47"/>
                <c:pt idx="0">
                  <c:v>2.8980000000000001</c:v>
                </c:pt>
                <c:pt idx="1">
                  <c:v>3.4249999999999998</c:v>
                </c:pt>
                <c:pt idx="2">
                  <c:v>3.6640000000000001</c:v>
                </c:pt>
                <c:pt idx="3">
                  <c:v>3.84</c:v>
                </c:pt>
                <c:pt idx="4">
                  <c:v>4.0960000000000001</c:v>
                </c:pt>
                <c:pt idx="5">
                  <c:v>4.2889999999999997</c:v>
                </c:pt>
                <c:pt idx="6">
                  <c:v>4.51</c:v>
                </c:pt>
                <c:pt idx="7">
                  <c:v>4.7190000000000003</c:v>
                </c:pt>
                <c:pt idx="8">
                  <c:v>4.9260000000000002</c:v>
                </c:pt>
                <c:pt idx="9">
                  <c:v>5.1509999999999998</c:v>
                </c:pt>
                <c:pt idx="10">
                  <c:v>5.359</c:v>
                </c:pt>
                <c:pt idx="11">
                  <c:v>5.5670000000000002</c:v>
                </c:pt>
                <c:pt idx="12">
                  <c:v>5.79</c:v>
                </c:pt>
                <c:pt idx="13">
                  <c:v>5.9980000000000002</c:v>
                </c:pt>
                <c:pt idx="14">
                  <c:v>6.2060000000000004</c:v>
                </c:pt>
                <c:pt idx="15">
                  <c:v>6.431</c:v>
                </c:pt>
                <c:pt idx="16">
                  <c:v>6.62</c:v>
                </c:pt>
                <c:pt idx="17">
                  <c:v>6.8449999999999998</c:v>
                </c:pt>
                <c:pt idx="18">
                  <c:v>7.0519999999999996</c:v>
                </c:pt>
                <c:pt idx="19">
                  <c:v>7.26</c:v>
                </c:pt>
                <c:pt idx="20">
                  <c:v>7.484</c:v>
                </c:pt>
                <c:pt idx="21">
                  <c:v>7.6760000000000002</c:v>
                </c:pt>
                <c:pt idx="22">
                  <c:v>7.8979999999999997</c:v>
                </c:pt>
                <c:pt idx="23">
                  <c:v>8.1080000000000005</c:v>
                </c:pt>
                <c:pt idx="24">
                  <c:v>8.3149999999999995</c:v>
                </c:pt>
                <c:pt idx="25">
                  <c:v>8.5389999999999997</c:v>
                </c:pt>
                <c:pt idx="26">
                  <c:v>8.7309999999999999</c:v>
                </c:pt>
                <c:pt idx="27">
                  <c:v>8.9540000000000006</c:v>
                </c:pt>
                <c:pt idx="28">
                  <c:v>9.1620000000000008</c:v>
                </c:pt>
                <c:pt idx="29">
                  <c:v>9.3689999999999998</c:v>
                </c:pt>
                <c:pt idx="30">
                  <c:v>9.5779999999999994</c:v>
                </c:pt>
                <c:pt idx="31">
                  <c:v>9.7840000000000007</c:v>
                </c:pt>
                <c:pt idx="32">
                  <c:v>9.9920000000000009</c:v>
                </c:pt>
                <c:pt idx="33">
                  <c:v>10.201000000000001</c:v>
                </c:pt>
                <c:pt idx="34">
                  <c:v>10.407999999999999</c:v>
                </c:pt>
                <c:pt idx="35">
                  <c:v>10.616</c:v>
                </c:pt>
                <c:pt idx="36">
                  <c:v>10.839</c:v>
                </c:pt>
                <c:pt idx="37">
                  <c:v>11.031000000000001</c:v>
                </c:pt>
                <c:pt idx="38">
                  <c:v>11.255000000000001</c:v>
                </c:pt>
                <c:pt idx="39">
                  <c:v>11.462</c:v>
                </c:pt>
                <c:pt idx="40">
                  <c:v>11.670999999999999</c:v>
                </c:pt>
                <c:pt idx="41">
                  <c:v>11.878</c:v>
                </c:pt>
                <c:pt idx="42">
                  <c:v>12.085000000000001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12.930999999999999</c:v>
                </c:pt>
              </c:numCache>
            </c:numRef>
          </c:xVal>
          <c:yVal>
            <c:numRef>
              <c:f>_ChartData!$D$49:$D$95</c:f>
              <c:numCache>
                <c:formatCode>General</c:formatCode>
                <c:ptCount val="47"/>
                <c:pt idx="0">
                  <c:v>5.114895E-11</c:v>
                </c:pt>
                <c:pt idx="1">
                  <c:v>1.437514E-10</c:v>
                </c:pt>
                <c:pt idx="2">
                  <c:v>-4.0028900000000001E-10</c:v>
                </c:pt>
                <c:pt idx="3">
                  <c:v>-4.8127439999999999E-10</c:v>
                </c:pt>
                <c:pt idx="4">
                  <c:v>-5.3746100000000003E-10</c:v>
                </c:pt>
                <c:pt idx="5">
                  <c:v>-2.8386980000000001E-10</c:v>
                </c:pt>
                <c:pt idx="6">
                  <c:v>1.385566E-9</c:v>
                </c:pt>
                <c:pt idx="7">
                  <c:v>1.5090409999999999E-9</c:v>
                </c:pt>
                <c:pt idx="8">
                  <c:v>4.5445929999999998E-10</c:v>
                </c:pt>
                <c:pt idx="9">
                  <c:v>1.398215E-9</c:v>
                </c:pt>
                <c:pt idx="10">
                  <c:v>-6.6349489999999996E-10</c:v>
                </c:pt>
                <c:pt idx="11">
                  <c:v>-3.0462220000000001E-10</c:v>
                </c:pt>
                <c:pt idx="12">
                  <c:v>-5.465716E-10</c:v>
                </c:pt>
                <c:pt idx="13">
                  <c:v>3.9778300000000002E-10</c:v>
                </c:pt>
                <c:pt idx="14">
                  <c:v>1.943551E-10</c:v>
                </c:pt>
                <c:pt idx="15">
                  <c:v>-3.4916559999999999E-10</c:v>
                </c:pt>
                <c:pt idx="16">
                  <c:v>-5.3847249999999997E-10</c:v>
                </c:pt>
                <c:pt idx="17">
                  <c:v>1.179612E-9</c:v>
                </c:pt>
                <c:pt idx="18">
                  <c:v>9.5173839999999999E-11</c:v>
                </c:pt>
                <c:pt idx="19">
                  <c:v>1.2190870000000001E-9</c:v>
                </c:pt>
                <c:pt idx="20">
                  <c:v>9.1090550000000002E-10</c:v>
                </c:pt>
                <c:pt idx="21">
                  <c:v>1.034883E-9</c:v>
                </c:pt>
                <c:pt idx="22">
                  <c:v>1.066258E-9</c:v>
                </c:pt>
                <c:pt idx="23">
                  <c:v>5.8754919999999995E-10</c:v>
                </c:pt>
                <c:pt idx="24">
                  <c:v>-4.2357260000000002E-10</c:v>
                </c:pt>
                <c:pt idx="25">
                  <c:v>-5.5922659999999999E-10</c:v>
                </c:pt>
                <c:pt idx="26">
                  <c:v>1.2757540000000001E-9</c:v>
                </c:pt>
                <c:pt idx="27">
                  <c:v>-3.2349180000000002E-11</c:v>
                </c:pt>
                <c:pt idx="28">
                  <c:v>-4.7165840000000001E-10</c:v>
                </c:pt>
                <c:pt idx="29">
                  <c:v>-5.3442370000000004E-10</c:v>
                </c:pt>
                <c:pt idx="30">
                  <c:v>7.929953E-10</c:v>
                </c:pt>
                <c:pt idx="31">
                  <c:v>8.4106969999999998E-10</c:v>
                </c:pt>
                <c:pt idx="32">
                  <c:v>1.129008E-9</c:v>
                </c:pt>
                <c:pt idx="33">
                  <c:v>9.4480710000000008E-10</c:v>
                </c:pt>
                <c:pt idx="34">
                  <c:v>7.4930870000000005E-11</c:v>
                </c:pt>
                <c:pt idx="35">
                  <c:v>7.8844509999999999E-10</c:v>
                </c:pt>
                <c:pt idx="36">
                  <c:v>9.6050090000000002E-10</c:v>
                </c:pt>
                <c:pt idx="37">
                  <c:v>1.38405E-9</c:v>
                </c:pt>
                <c:pt idx="38">
                  <c:v>-6.538809E-10</c:v>
                </c:pt>
                <c:pt idx="39">
                  <c:v>1.0849799999999999E-9</c:v>
                </c:pt>
                <c:pt idx="40">
                  <c:v>1.290937E-9</c:v>
                </c:pt>
                <c:pt idx="41">
                  <c:v>-5.6074510000000004E-10</c:v>
                </c:pt>
                <c:pt idx="42">
                  <c:v>-5.5163300000000001E-10</c:v>
                </c:pt>
                <c:pt idx="43">
                  <c:v>-5.6132709999999998E-11</c:v>
                </c:pt>
                <c:pt idx="44">
                  <c:v>3.942422E-10</c:v>
                </c:pt>
                <c:pt idx="45">
                  <c:v>-4.2812799999999998E-10</c:v>
                </c:pt>
                <c:pt idx="46">
                  <c:v>-7.2727409999999998E-10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D7-430B-8520-F9704D1E7B42}"/>
            </c:ext>
          </c:extLst>
        </c:ser>
        <c:ser>
          <c:idx val="5"/>
          <c:order val="5"/>
          <c:tx>
            <c:v>a · Resistance</c:v>
          </c:tx>
          <c:spPr>
            <a:ln w="31750">
              <a:solidFill>
                <a:srgbClr val="42B7E8"/>
              </a:solidFill>
              <a:prstDash val="dot"/>
            </a:ln>
          </c:spPr>
          <c:marker>
            <c:symbol val="none"/>
          </c:marker>
          <c:xVal>
            <c:numRef>
              <c:f>_ChartData!$C$96:$C$142</c:f>
              <c:numCache>
                <c:formatCode>General</c:formatCode>
                <c:ptCount val="47"/>
                <c:pt idx="0">
                  <c:v>2.8980000000000001</c:v>
                </c:pt>
                <c:pt idx="1">
                  <c:v>3.4249999999999998</c:v>
                </c:pt>
                <c:pt idx="2">
                  <c:v>3.6640000000000001</c:v>
                </c:pt>
                <c:pt idx="3">
                  <c:v>3.84</c:v>
                </c:pt>
                <c:pt idx="4">
                  <c:v>4.0960000000000001</c:v>
                </c:pt>
                <c:pt idx="5">
                  <c:v>4.2889999999999997</c:v>
                </c:pt>
                <c:pt idx="6">
                  <c:v>4.51</c:v>
                </c:pt>
                <c:pt idx="7">
                  <c:v>4.7190000000000003</c:v>
                </c:pt>
                <c:pt idx="8">
                  <c:v>4.9260000000000002</c:v>
                </c:pt>
                <c:pt idx="9">
                  <c:v>5.1509999999999998</c:v>
                </c:pt>
                <c:pt idx="10">
                  <c:v>5.359</c:v>
                </c:pt>
                <c:pt idx="11">
                  <c:v>5.5670000000000002</c:v>
                </c:pt>
                <c:pt idx="12">
                  <c:v>5.79</c:v>
                </c:pt>
                <c:pt idx="13">
                  <c:v>5.9980000000000002</c:v>
                </c:pt>
                <c:pt idx="14">
                  <c:v>6.2060000000000004</c:v>
                </c:pt>
                <c:pt idx="15">
                  <c:v>6.431</c:v>
                </c:pt>
                <c:pt idx="16">
                  <c:v>6.62</c:v>
                </c:pt>
                <c:pt idx="17">
                  <c:v>6.8449999999999998</c:v>
                </c:pt>
                <c:pt idx="18">
                  <c:v>7.0519999999999996</c:v>
                </c:pt>
                <c:pt idx="19">
                  <c:v>7.26</c:v>
                </c:pt>
                <c:pt idx="20">
                  <c:v>7.484</c:v>
                </c:pt>
                <c:pt idx="21">
                  <c:v>7.6760000000000002</c:v>
                </c:pt>
                <c:pt idx="22">
                  <c:v>7.8979999999999997</c:v>
                </c:pt>
                <c:pt idx="23">
                  <c:v>8.1080000000000005</c:v>
                </c:pt>
                <c:pt idx="24">
                  <c:v>8.3149999999999995</c:v>
                </c:pt>
                <c:pt idx="25">
                  <c:v>8.5389999999999997</c:v>
                </c:pt>
                <c:pt idx="26">
                  <c:v>8.7309999999999999</c:v>
                </c:pt>
                <c:pt idx="27">
                  <c:v>8.9540000000000006</c:v>
                </c:pt>
                <c:pt idx="28">
                  <c:v>9.1620000000000008</c:v>
                </c:pt>
                <c:pt idx="29">
                  <c:v>9.3689999999999998</c:v>
                </c:pt>
                <c:pt idx="30">
                  <c:v>9.5779999999999994</c:v>
                </c:pt>
                <c:pt idx="31">
                  <c:v>9.7840000000000007</c:v>
                </c:pt>
                <c:pt idx="32">
                  <c:v>9.9920000000000009</c:v>
                </c:pt>
                <c:pt idx="33">
                  <c:v>10.201000000000001</c:v>
                </c:pt>
                <c:pt idx="34">
                  <c:v>10.407999999999999</c:v>
                </c:pt>
                <c:pt idx="35">
                  <c:v>10.616</c:v>
                </c:pt>
                <c:pt idx="36">
                  <c:v>10.839</c:v>
                </c:pt>
                <c:pt idx="37">
                  <c:v>11.031000000000001</c:v>
                </c:pt>
                <c:pt idx="38">
                  <c:v>11.255000000000001</c:v>
                </c:pt>
                <c:pt idx="39">
                  <c:v>11.462</c:v>
                </c:pt>
                <c:pt idx="40">
                  <c:v>11.670999999999999</c:v>
                </c:pt>
                <c:pt idx="41">
                  <c:v>11.878</c:v>
                </c:pt>
                <c:pt idx="42">
                  <c:v>12.085000000000001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12.930999999999999</c:v>
                </c:pt>
              </c:numCache>
            </c:numRef>
          </c:xVal>
          <c:yVal>
            <c:numRef>
              <c:f>_ChartData!$D$96:$D$142</c:f>
              <c:numCache>
                <c:formatCode>General</c:formatCode>
                <c:ptCount val="47"/>
                <c:pt idx="0">
                  <c:v>5.954801561698145E-10</c:v>
                </c:pt>
                <c:pt idx="1">
                  <c:v>2.1187834752699256E-10</c:v>
                </c:pt>
                <c:pt idx="2">
                  <c:v>-7.6090080646424175E-11</c:v>
                </c:pt>
                <c:pt idx="3">
                  <c:v>-6.3285302275597759E-11</c:v>
                </c:pt>
                <c:pt idx="4">
                  <c:v>-5.6671043621621472E-11</c:v>
                </c:pt>
                <c:pt idx="5">
                  <c:v>-1.0729711817158408E-10</c:v>
                </c:pt>
                <c:pt idx="6">
                  <c:v>2.1982265843046557E-11</c:v>
                </c:pt>
                <c:pt idx="7">
                  <c:v>2.0183752649078341E-11</c:v>
                </c:pt>
                <c:pt idx="8">
                  <c:v>6.7019920172693415E-11</c:v>
                </c:pt>
                <c:pt idx="9">
                  <c:v>2.1783390418526642E-11</c:v>
                </c:pt>
                <c:pt idx="10">
                  <c:v>-4.5904675446176681E-11</c:v>
                </c:pt>
                <c:pt idx="11">
                  <c:v>-9.9985542272067788E-11</c:v>
                </c:pt>
                <c:pt idx="12">
                  <c:v>-5.5725449034074026E-11</c:v>
                </c:pt>
                <c:pt idx="13">
                  <c:v>7.6569722614548144E-11</c:v>
                </c:pt>
                <c:pt idx="14">
                  <c:v>1.5671201130718039E-10</c:v>
                </c:pt>
                <c:pt idx="15">
                  <c:v>-8.7230801711858887E-11</c:v>
                </c:pt>
                <c:pt idx="16">
                  <c:v>-5.6563564805644337E-11</c:v>
                </c:pt>
                <c:pt idx="17">
                  <c:v>2.5820439372174904E-11</c:v>
                </c:pt>
                <c:pt idx="18">
                  <c:v>3.2002571756298797E-10</c:v>
                </c:pt>
                <c:pt idx="19">
                  <c:v>2.4984516935245498E-11</c:v>
                </c:pt>
                <c:pt idx="20">
                  <c:v>3.3437093578317779E-11</c:v>
                </c:pt>
                <c:pt idx="21">
                  <c:v>2.943129594289624E-11</c:v>
                </c:pt>
                <c:pt idx="22">
                  <c:v>2.8565549472725281E-11</c:v>
                </c:pt>
                <c:pt idx="23">
                  <c:v>5.1839411983162831E-11</c:v>
                </c:pt>
                <c:pt idx="24">
                  <c:v>-7.1907546159966836E-11</c:v>
                </c:pt>
                <c:pt idx="25">
                  <c:v>-5.4464296832975966E-11</c:v>
                </c:pt>
                <c:pt idx="26">
                  <c:v>2.3874510279113996E-11</c:v>
                </c:pt>
                <c:pt idx="27">
                  <c:v>-9.4153526277710176E-10</c:v>
                </c:pt>
                <c:pt idx="28">
                  <c:v>-6.4576070972114176E-11</c:v>
                </c:pt>
                <c:pt idx="29">
                  <c:v>-5.6992249323971544E-11</c:v>
                </c:pt>
                <c:pt idx="30">
                  <c:v>3.8408506446344684E-11</c:v>
                </c:pt>
                <c:pt idx="31">
                  <c:v>3.6213196865288164E-11</c:v>
                </c:pt>
                <c:pt idx="32">
                  <c:v>2.6977694085873917E-11</c:v>
                </c:pt>
                <c:pt idx="33">
                  <c:v>3.2237188045906206E-11</c:v>
                </c:pt>
                <c:pt idx="34">
                  <c:v>4.0648176705414385E-10</c:v>
                </c:pt>
                <c:pt idx="35">
                  <c:v>3.8630316225309693E-11</c:v>
                </c:pt>
                <c:pt idx="36">
                  <c:v>3.1710497487414556E-11</c:v>
                </c:pt>
                <c:pt idx="37">
                  <c:v>2.2006461180688696E-11</c:v>
                </c:pt>
                <c:pt idx="38">
                  <c:v>-4.6580315004086857E-11</c:v>
                </c:pt>
                <c:pt idx="39">
                  <c:v>2.8072642631492711E-11</c:v>
                </c:pt>
                <c:pt idx="40">
                  <c:v>2.3593567375241179E-11</c:v>
                </c:pt>
                <c:pt idx="41">
                  <c:v>-5.4316867648756533E-11</c:v>
                </c:pt>
                <c:pt idx="42">
                  <c:v>-5.5213856671422386E-11</c:v>
                </c:pt>
                <c:pt idx="43">
                  <c:v>-5.4261086942025175E-10</c:v>
                </c:pt>
                <c:pt idx="44">
                  <c:v>7.725804345161527E-11</c:v>
                </c:pt>
                <c:pt idx="45">
                  <c:v>-7.1143244217040765E-11</c:v>
                </c:pt>
                <c:pt idx="46">
                  <c:v>-4.1879650417324633E-11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D7-430B-8520-F9704D1E7B42}"/>
            </c:ext>
          </c:extLst>
        </c:ser>
        <c:ser>
          <c:idx val="6"/>
          <c:order val="6"/>
          <c:tx>
            <c:v>b · Current</c:v>
          </c:tx>
          <c:spPr>
            <a:ln w="31750">
              <a:solidFill>
                <a:srgbClr val="F5A623"/>
              </a:solidFill>
              <a:prstDash val="dash"/>
            </a:ln>
          </c:spPr>
          <c:marker>
            <c:symbol val="none"/>
          </c:marker>
          <c:xVal>
            <c:numRef>
              <c:f>_ChartData!$C$190:$C$236</c:f>
              <c:numCache>
                <c:formatCode>General</c:formatCode>
                <c:ptCount val="47"/>
                <c:pt idx="0">
                  <c:v>2.9</c:v>
                </c:pt>
                <c:pt idx="1">
                  <c:v>3.3940000000000001</c:v>
                </c:pt>
                <c:pt idx="2">
                  <c:v>3.6659999999999999</c:v>
                </c:pt>
                <c:pt idx="3">
                  <c:v>3.8250000000000002</c:v>
                </c:pt>
                <c:pt idx="4">
                  <c:v>4.0810000000000004</c:v>
                </c:pt>
                <c:pt idx="5">
                  <c:v>4.3070000000000004</c:v>
                </c:pt>
                <c:pt idx="6">
                  <c:v>4.4969999999999999</c:v>
                </c:pt>
                <c:pt idx="7">
                  <c:v>4.7190000000000003</c:v>
                </c:pt>
                <c:pt idx="8">
                  <c:v>4.9279999999999999</c:v>
                </c:pt>
                <c:pt idx="9">
                  <c:v>5.1349999999999998</c:v>
                </c:pt>
                <c:pt idx="10">
                  <c:v>5.36</c:v>
                </c:pt>
                <c:pt idx="11">
                  <c:v>5.5519999999999996</c:v>
                </c:pt>
                <c:pt idx="12">
                  <c:v>5.7750000000000004</c:v>
                </c:pt>
                <c:pt idx="13">
                  <c:v>5.9829999999999997</c:v>
                </c:pt>
                <c:pt idx="14">
                  <c:v>6.1890000000000001</c:v>
                </c:pt>
                <c:pt idx="15">
                  <c:v>6.399</c:v>
                </c:pt>
                <c:pt idx="16">
                  <c:v>6.6059999999999999</c:v>
                </c:pt>
                <c:pt idx="17">
                  <c:v>6.8120000000000003</c:v>
                </c:pt>
                <c:pt idx="18">
                  <c:v>7.0209999999999999</c:v>
                </c:pt>
                <c:pt idx="19">
                  <c:v>7.2290000000000001</c:v>
                </c:pt>
                <c:pt idx="20">
                  <c:v>7.4370000000000003</c:v>
                </c:pt>
                <c:pt idx="21">
                  <c:v>7.6449999999999996</c:v>
                </c:pt>
                <c:pt idx="22">
                  <c:v>7.8520000000000003</c:v>
                </c:pt>
                <c:pt idx="23">
                  <c:v>8.06</c:v>
                </c:pt>
                <c:pt idx="24">
                  <c:v>8.2680000000000007</c:v>
                </c:pt>
                <c:pt idx="25">
                  <c:v>8.4770000000000003</c:v>
                </c:pt>
                <c:pt idx="26">
                  <c:v>8.6989999999999998</c:v>
                </c:pt>
                <c:pt idx="27">
                  <c:v>8.9060000000000006</c:v>
                </c:pt>
                <c:pt idx="28">
                  <c:v>9.1140000000000008</c:v>
                </c:pt>
                <c:pt idx="29">
                  <c:v>9.3209999999999997</c:v>
                </c:pt>
                <c:pt idx="30">
                  <c:v>9.5449999999999999</c:v>
                </c:pt>
                <c:pt idx="31">
                  <c:v>9.7379999999999995</c:v>
                </c:pt>
                <c:pt idx="32">
                  <c:v>9.9600000000000009</c:v>
                </c:pt>
                <c:pt idx="33">
                  <c:v>10.167999999999999</c:v>
                </c:pt>
                <c:pt idx="34">
                  <c:v>10.375999999999999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11.622999999999999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12.468999999999999</c:v>
                </c:pt>
                <c:pt idx="45">
                  <c:v>12.677</c:v>
                </c:pt>
                <c:pt idx="46">
                  <c:v>12.885999999999999</c:v>
                </c:pt>
              </c:numCache>
            </c:numRef>
          </c:xVal>
          <c:yVal>
            <c:numRef>
              <c:f>_ChartData!$D$190:$D$236</c:f>
              <c:numCache>
                <c:formatCode>General</c:formatCode>
                <c:ptCount val="47"/>
                <c:pt idx="0">
                  <c:v>1.037923E-9</c:v>
                </c:pt>
                <c:pt idx="1">
                  <c:v>1.3086560000000001E-9</c:v>
                </c:pt>
                <c:pt idx="2">
                  <c:v>1.412187E-10</c:v>
                </c:pt>
                <c:pt idx="3">
                  <c:v>9.1900209999999998E-10</c:v>
                </c:pt>
                <c:pt idx="4">
                  <c:v>1.586976E-9</c:v>
                </c:pt>
                <c:pt idx="5">
                  <c:v>2.085248E-10</c:v>
                </c:pt>
                <c:pt idx="6">
                  <c:v>1.3688700000000001E-9</c:v>
                </c:pt>
                <c:pt idx="7">
                  <c:v>4.9848399999999995E-10</c:v>
                </c:pt>
                <c:pt idx="8">
                  <c:v>1.43668E-9</c:v>
                </c:pt>
                <c:pt idx="9">
                  <c:v>4.3016789999999998E-10</c:v>
                </c:pt>
                <c:pt idx="10">
                  <c:v>1.3233230000000001E-9</c:v>
                </c:pt>
                <c:pt idx="11">
                  <c:v>1.0227379999999999E-9</c:v>
                </c:pt>
                <c:pt idx="12">
                  <c:v>-6.2712039999999997E-11</c:v>
                </c:pt>
                <c:pt idx="13">
                  <c:v>1.171515E-9</c:v>
                </c:pt>
                <c:pt idx="14">
                  <c:v>-1.9192509999999999E-11</c:v>
                </c:pt>
                <c:pt idx="15">
                  <c:v>1.4685559999999999E-9</c:v>
                </c:pt>
                <c:pt idx="16">
                  <c:v>-5.1518900000000005E-10</c:v>
                </c:pt>
                <c:pt idx="17">
                  <c:v>1.351155E-9</c:v>
                </c:pt>
                <c:pt idx="18">
                  <c:v>-7.3942339999999996E-10</c:v>
                </c:pt>
                <c:pt idx="19">
                  <c:v>1.1016859999999999E-9</c:v>
                </c:pt>
                <c:pt idx="20">
                  <c:v>1.129514E-9</c:v>
                </c:pt>
                <c:pt idx="21">
                  <c:v>1.4503449999999999E-9</c:v>
                </c:pt>
                <c:pt idx="22">
                  <c:v>-4.8127610000000001E-10</c:v>
                </c:pt>
                <c:pt idx="23">
                  <c:v>1.2843659999999999E-9</c:v>
                </c:pt>
                <c:pt idx="24">
                  <c:v>1.4457810000000001E-9</c:v>
                </c:pt>
                <c:pt idx="25">
                  <c:v>-9.2568820000000001E-11</c:v>
                </c:pt>
                <c:pt idx="26">
                  <c:v>-3.1843290000000003E-11</c:v>
                </c:pt>
                <c:pt idx="27">
                  <c:v>1.3501459999999999E-9</c:v>
                </c:pt>
                <c:pt idx="28">
                  <c:v>1.3597600000000001E-9</c:v>
                </c:pt>
                <c:pt idx="29">
                  <c:v>-4.4483180000000001E-10</c:v>
                </c:pt>
                <c:pt idx="30">
                  <c:v>6.720556E-10</c:v>
                </c:pt>
                <c:pt idx="31">
                  <c:v>-5.6985529999999999E-10</c:v>
                </c:pt>
                <c:pt idx="32">
                  <c:v>-5.3897930000000002E-10</c:v>
                </c:pt>
                <c:pt idx="33">
                  <c:v>-3.7599219999999999E-10</c:v>
                </c:pt>
                <c:pt idx="34">
                  <c:v>-7.3993090000000003E-10</c:v>
                </c:pt>
                <c:pt idx="35">
                  <c:v>6.4523489999999996E-10</c:v>
                </c:pt>
                <c:pt idx="36">
                  <c:v>-6.5742270000000002E-10</c:v>
                </c:pt>
                <c:pt idx="37">
                  <c:v>1.175063E-9</c:v>
                </c:pt>
                <c:pt idx="38">
                  <c:v>-5.4100419999999999E-10</c:v>
                </c:pt>
                <c:pt idx="39">
                  <c:v>1.4012539999999999E-9</c:v>
                </c:pt>
                <c:pt idx="40">
                  <c:v>-8.2496629999999995E-10</c:v>
                </c:pt>
                <c:pt idx="41">
                  <c:v>-4.033258E-10</c:v>
                </c:pt>
                <c:pt idx="42">
                  <c:v>1.253494E-9</c:v>
                </c:pt>
                <c:pt idx="43">
                  <c:v>1.13761E-9</c:v>
                </c:pt>
                <c:pt idx="44">
                  <c:v>-7.2828720000000001E-10</c:v>
                </c:pt>
                <c:pt idx="45">
                  <c:v>1.4255429999999999E-9</c:v>
                </c:pt>
                <c:pt idx="46">
                  <c:v>1.462991E-9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D7-430B-8520-F9704D1E7B42}"/>
            </c:ext>
          </c:extLst>
        </c:ser>
        <c:ser>
          <c:idx val="7"/>
          <c:order val="7"/>
          <c:tx>
            <c:v>b · Resistance</c:v>
          </c:tx>
          <c:spPr>
            <a:ln w="31750">
              <a:solidFill>
                <a:srgbClr val="F5A623"/>
              </a:solidFill>
              <a:prstDash val="dot"/>
            </a:ln>
          </c:spPr>
          <c:marker>
            <c:symbol val="none"/>
          </c:marker>
          <c:xVal>
            <c:numRef>
              <c:f>_ChartData!$C$237:$C$283</c:f>
              <c:numCache>
                <c:formatCode>General</c:formatCode>
                <c:ptCount val="47"/>
                <c:pt idx="0">
                  <c:v>2.9</c:v>
                </c:pt>
                <c:pt idx="1">
                  <c:v>3.3940000000000001</c:v>
                </c:pt>
                <c:pt idx="2">
                  <c:v>3.6659999999999999</c:v>
                </c:pt>
                <c:pt idx="3">
                  <c:v>3.8250000000000002</c:v>
                </c:pt>
                <c:pt idx="4">
                  <c:v>4.0810000000000004</c:v>
                </c:pt>
                <c:pt idx="5">
                  <c:v>4.3070000000000004</c:v>
                </c:pt>
                <c:pt idx="6">
                  <c:v>4.4969999999999999</c:v>
                </c:pt>
                <c:pt idx="7">
                  <c:v>4.7190000000000003</c:v>
                </c:pt>
                <c:pt idx="8">
                  <c:v>4.9279999999999999</c:v>
                </c:pt>
                <c:pt idx="9">
                  <c:v>5.1349999999999998</c:v>
                </c:pt>
                <c:pt idx="10">
                  <c:v>5.36</c:v>
                </c:pt>
                <c:pt idx="11">
                  <c:v>5.5519999999999996</c:v>
                </c:pt>
                <c:pt idx="12">
                  <c:v>5.7750000000000004</c:v>
                </c:pt>
                <c:pt idx="13">
                  <c:v>5.9829999999999997</c:v>
                </c:pt>
                <c:pt idx="14">
                  <c:v>6.1890000000000001</c:v>
                </c:pt>
                <c:pt idx="15">
                  <c:v>6.399</c:v>
                </c:pt>
                <c:pt idx="16">
                  <c:v>6.6059999999999999</c:v>
                </c:pt>
                <c:pt idx="17">
                  <c:v>6.8120000000000003</c:v>
                </c:pt>
                <c:pt idx="18">
                  <c:v>7.0209999999999999</c:v>
                </c:pt>
                <c:pt idx="19">
                  <c:v>7.2290000000000001</c:v>
                </c:pt>
                <c:pt idx="20">
                  <c:v>7.4370000000000003</c:v>
                </c:pt>
                <c:pt idx="21">
                  <c:v>7.6449999999999996</c:v>
                </c:pt>
                <c:pt idx="22">
                  <c:v>7.8520000000000003</c:v>
                </c:pt>
                <c:pt idx="23">
                  <c:v>8.06</c:v>
                </c:pt>
                <c:pt idx="24">
                  <c:v>8.2680000000000007</c:v>
                </c:pt>
                <c:pt idx="25">
                  <c:v>8.4770000000000003</c:v>
                </c:pt>
                <c:pt idx="26">
                  <c:v>8.6989999999999998</c:v>
                </c:pt>
                <c:pt idx="27">
                  <c:v>8.9060000000000006</c:v>
                </c:pt>
                <c:pt idx="28">
                  <c:v>9.1140000000000008</c:v>
                </c:pt>
                <c:pt idx="29">
                  <c:v>9.3209999999999997</c:v>
                </c:pt>
                <c:pt idx="30">
                  <c:v>9.5449999999999999</c:v>
                </c:pt>
                <c:pt idx="31">
                  <c:v>9.7379999999999995</c:v>
                </c:pt>
                <c:pt idx="32">
                  <c:v>9.9600000000000009</c:v>
                </c:pt>
                <c:pt idx="33">
                  <c:v>10.167999999999999</c:v>
                </c:pt>
                <c:pt idx="34">
                  <c:v>10.375999999999999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11.622999999999999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12.468999999999999</c:v>
                </c:pt>
                <c:pt idx="45">
                  <c:v>12.677</c:v>
                </c:pt>
                <c:pt idx="46">
                  <c:v>12.885999999999999</c:v>
                </c:pt>
              </c:numCache>
            </c:numRef>
          </c:xVal>
          <c:yVal>
            <c:numRef>
              <c:f>_ChartData!$D$237:$D$283</c:f>
              <c:numCache>
                <c:formatCode>General</c:formatCode>
                <c:ptCount val="47"/>
                <c:pt idx="0">
                  <c:v>2.9345485112466092E-11</c:v>
                </c:pt>
                <c:pt idx="1">
                  <c:v>2.3274176183591782E-11</c:v>
                </c:pt>
                <c:pt idx="2">
                  <c:v>2.1567458512401675E-10</c:v>
                </c:pt>
                <c:pt idx="3">
                  <c:v>3.3142804097462017E-11</c:v>
                </c:pt>
                <c:pt idx="4">
                  <c:v>1.9192716851458623E-11</c:v>
                </c:pt>
                <c:pt idx="5">
                  <c:v>1.4606464136970754E-10</c:v>
                </c:pt>
                <c:pt idx="6">
                  <c:v>2.2250416426699825E-11</c:v>
                </c:pt>
                <c:pt idx="7">
                  <c:v>6.1100794561471052E-11</c:v>
                </c:pt>
                <c:pt idx="8">
                  <c:v>2.1200259243383128E-11</c:v>
                </c:pt>
                <c:pt idx="9">
                  <c:v>7.0805694760905527E-11</c:v>
                </c:pt>
                <c:pt idx="10">
                  <c:v>2.3015982462679581E-11</c:v>
                </c:pt>
                <c:pt idx="11">
                  <c:v>2.9780894764602504E-11</c:v>
                </c:pt>
                <c:pt idx="12">
                  <c:v>-4.8567446525449222E-10</c:v>
                </c:pt>
                <c:pt idx="13">
                  <c:v>2.5998927859039624E-11</c:v>
                </c:pt>
                <c:pt idx="14">
                  <c:v>-1.5869760000000019E-9</c:v>
                </c:pt>
                <c:pt idx="15">
                  <c:v>2.0740090991133055E-11</c:v>
                </c:pt>
                <c:pt idx="16">
                  <c:v>-5.9120153477190003E-11</c:v>
                </c:pt>
                <c:pt idx="17">
                  <c:v>2.2542289524417435E-11</c:v>
                </c:pt>
                <c:pt idx="18">
                  <c:v>-4.1191677158258897E-11</c:v>
                </c:pt>
                <c:pt idx="19">
                  <c:v>2.7646831494967022E-11</c:v>
                </c:pt>
                <c:pt idx="20">
                  <c:v>2.6965731453602974E-11</c:v>
                </c:pt>
                <c:pt idx="21">
                  <c:v>2.1000505601878052E-11</c:v>
                </c:pt>
                <c:pt idx="22">
                  <c:v>-6.3286478051069024E-11</c:v>
                </c:pt>
                <c:pt idx="23">
                  <c:v>2.3714499406306849E-11</c:v>
                </c:pt>
                <c:pt idx="24">
                  <c:v>2.1066820462462413E-11</c:v>
                </c:pt>
                <c:pt idx="25">
                  <c:v>-3.2902504874898106E-10</c:v>
                </c:pt>
                <c:pt idx="26">
                  <c:v>-9.5648937268040863E-10</c:v>
                </c:pt>
                <c:pt idx="27">
                  <c:v>2.2559140989776515E-11</c:v>
                </c:pt>
                <c:pt idx="28">
                  <c:v>2.2399647087287938E-11</c:v>
                </c:pt>
                <c:pt idx="29">
                  <c:v>-6.8471049346494535E-11</c:v>
                </c:pt>
                <c:pt idx="30">
                  <c:v>4.5321010465905738E-11</c:v>
                </c:pt>
                <c:pt idx="31">
                  <c:v>-5.3448808130507591E-11</c:v>
                </c:pt>
                <c:pt idx="32">
                  <c:v>-5.6510403435984335E-11</c:v>
                </c:pt>
                <c:pt idx="33">
                  <c:v>-8.1006338841959815E-11</c:v>
                </c:pt>
                <c:pt idx="34">
                  <c:v>-4.1163758701440559E-11</c:v>
                </c:pt>
                <c:pt idx="35">
                  <c:v>4.720436517701012E-11</c:v>
                </c:pt>
                <c:pt idx="36">
                  <c:v>-4.6329424772612697E-11</c:v>
                </c:pt>
                <c:pt idx="37">
                  <c:v>2.592064813111938E-11</c:v>
                </c:pt>
                <c:pt idx="38">
                  <c:v>-5.6299256033100678E-11</c:v>
                </c:pt>
                <c:pt idx="39">
                  <c:v>2.1736159293808721E-11</c:v>
                </c:pt>
                <c:pt idx="40">
                  <c:v>-3.6920450207922705E-11</c:v>
                </c:pt>
                <c:pt idx="41">
                  <c:v>-7.5516765478010449E-11</c:v>
                </c:pt>
                <c:pt idx="42">
                  <c:v>2.429877135192828E-11</c:v>
                </c:pt>
                <c:pt idx="43">
                  <c:v>2.6773703153545014E-11</c:v>
                </c:pt>
                <c:pt idx="44">
                  <c:v>-4.1821783136040423E-11</c:v>
                </c:pt>
                <c:pt idx="45">
                  <c:v>2.1365978040610262E-11</c:v>
                </c:pt>
                <c:pt idx="46">
                  <c:v>2.0819302433477256E-11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D7-430B-8520-F9704D1E7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3"/>
        <c:axId val="50010004"/>
      </c:scatterChart>
      <c:valAx>
        <c:axId val="50010001"/>
        <c:scaling>
          <c:orientation val="minMax"/>
          <c:max val="12.930999999999999"/>
          <c:min val="2.8980000000000001"/>
        </c:scaling>
        <c:delete val="0"/>
        <c:axPos val="b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64748B"/>
                    </a:solidFill>
                  </a:defRPr>
                </a:pPr>
                <a:r>
                  <a:rPr lang="en-US" baseline="0">
                    <a:solidFill>
                      <a:srgbClr val="64748B"/>
                    </a:solidFill>
                  </a:rPr>
                  <a:t>Elapsed (s)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9FB3C8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10002"/>
        <c:crosses val="autoZero"/>
        <c:crossBetween val="midCat"/>
        <c:majorUnit val="2.0066000000000002"/>
      </c:valAx>
      <c:valAx>
        <c:axId val="50010002"/>
        <c:scaling>
          <c:orientation val="minMax"/>
          <c:max val="9.7202000000000002"/>
          <c:min val="0"/>
        </c:scaling>
        <c:delete val="0"/>
        <c:axPos val="l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1595C5"/>
                    </a:solidFill>
                  </a:defRPr>
                </a:pPr>
                <a:r>
                  <a:rPr lang="en-US" baseline="0">
                    <a:solidFill>
                      <a:srgbClr val="1595C5"/>
                    </a:solidFill>
                  </a:rPr>
                  <a:t>Voltage (V)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1595C5"/>
            </a:solidFill>
          </a:ln>
        </c:spPr>
        <c:txPr>
          <a:bodyPr/>
          <a:lstStyle/>
          <a:p>
            <a:pPr>
              <a:defRPr baseline="0">
                <a:solidFill>
                  <a:srgbClr val="1595C5"/>
                </a:solidFill>
              </a:defRPr>
            </a:pPr>
            <a:endParaRPr lang="en-US"/>
          </a:p>
        </c:txPr>
        <c:crossAx val="50010001"/>
        <c:crosses val="autoZero"/>
        <c:crossBetween val="midCat"/>
        <c:majorUnit val="4.8601000000000001"/>
      </c:valAx>
      <c:val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  <c:max val="1.7139340800000001E-9"/>
          <c:min val="-1.7139340800000001E-9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D18A00"/>
                    </a:solidFill>
                  </a:defRPr>
                </a:pPr>
                <a:r>
                  <a:rPr lang="en-US" baseline="0">
                    <a:solidFill>
                      <a:srgbClr val="D18A00"/>
                    </a:solidFill>
                  </a:rPr>
                  <a:t>Current (A)</a:t>
                </a:r>
              </a:p>
            </c:rich>
          </c:tx>
          <c:overlay val="0"/>
        </c:title>
        <c:numFmt formatCode="0.00E+00" sourceLinked="0"/>
        <c:majorTickMark val="out"/>
        <c:minorTickMark val="none"/>
        <c:tickLblPos val="nextTo"/>
        <c:spPr>
          <a:ln>
            <a:solidFill>
              <a:srgbClr val="D18A00"/>
            </a:solidFill>
          </a:ln>
        </c:spPr>
        <c:txPr>
          <a:bodyPr/>
          <a:lstStyle/>
          <a:p>
            <a:pPr>
              <a:defRPr baseline="0">
                <a:solidFill>
                  <a:srgbClr val="D18A00"/>
                </a:solidFill>
              </a:defRPr>
            </a:pPr>
            <a:endParaRPr lang="en-US"/>
          </a:p>
        </c:txPr>
        <c:crossAx val="50010003"/>
        <c:crosses val="max"/>
        <c:crossBetween val="midCat"/>
        <c:majorUnit val="1.7139340800000001E-9"/>
      </c:valAx>
      <c:spPr>
        <a:solidFill>
          <a:srgbClr val="FFFFFF"/>
        </a:solidFill>
        <a:ln>
          <a:solidFill>
            <a:srgbClr val="C9D6E2"/>
          </a:solidFill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 baseline="0">
              <a:solidFill>
                <a:srgbClr val="334E68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6E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12</xdr:row>
      <xdr:rowOff>19050</xdr:rowOff>
    </xdr:from>
    <xdr:to>
      <xdr:col>13</xdr:col>
      <xdr:colOff>838200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B7E8"/>
    <pageSetUpPr fitToPage="1"/>
  </sheetPr>
  <dimension ref="A1:R40"/>
  <sheetViews>
    <sheetView showGridLines="0" tabSelected="1" zoomScale="85" zoomScaleNormal="85"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5.7265625" customWidth="1"/>
    <col min="2" max="2" width="7.7265625" customWidth="1"/>
    <col min="3" max="3" width="15.7265625" customWidth="1"/>
    <col min="4" max="4" width="30.7265625" customWidth="1"/>
    <col min="5" max="6" width="14.7265625" customWidth="1"/>
    <col min="7" max="7" width="11.7265625" customWidth="1"/>
    <col min="8" max="8" width="13.7265625" customWidth="1"/>
    <col min="9" max="9" width="10.7265625" customWidth="1"/>
    <col min="10" max="14" width="12.7265625" customWidth="1"/>
    <col min="15" max="15" width="3.7265625" customWidth="1"/>
    <col min="16" max="18" width="12.7265625" customWidth="1"/>
  </cols>
  <sheetData>
    <row r="1" spans="1:18" ht="3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3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8" x14ac:dyDescent="0.35">
      <c r="A5" s="2" t="b">
        <v>1</v>
      </c>
      <c r="B5" s="3">
        <v>1</v>
      </c>
      <c r="C5" s="4" t="str">
        <f>'Raw Data'!B1</f>
        <v>a</v>
      </c>
      <c r="D5" s="4" t="s">
        <v>11</v>
      </c>
      <c r="E5" s="4" t="s">
        <v>12</v>
      </c>
      <c r="F5" s="4" t="s">
        <v>13</v>
      </c>
      <c r="G5" s="4">
        <v>47</v>
      </c>
      <c r="H5" s="4">
        <v>12.930999999999999</v>
      </c>
      <c r="I5" s="5" t="s">
        <v>14</v>
      </c>
    </row>
    <row r="6" spans="1:18" x14ac:dyDescent="0.35">
      <c r="A6" s="2" t="b">
        <v>1</v>
      </c>
      <c r="B6" s="3">
        <v>2</v>
      </c>
      <c r="C6" s="4" t="str">
        <f>'Raw Data'!G1</f>
        <v>b</v>
      </c>
      <c r="D6" s="4" t="s">
        <v>11</v>
      </c>
      <c r="E6" s="4" t="s">
        <v>12</v>
      </c>
      <c r="F6" s="4" t="s">
        <v>13</v>
      </c>
      <c r="G6" s="4">
        <v>47</v>
      </c>
      <c r="H6" s="4">
        <v>12.885999999999999</v>
      </c>
      <c r="I6" s="5" t="s">
        <v>14</v>
      </c>
    </row>
    <row r="9" spans="1:18" x14ac:dyDescent="0.35">
      <c r="A9" s="11" t="s">
        <v>15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5">
      <c r="A10" s="2" t="b">
        <v>1</v>
      </c>
      <c r="B10" s="15" t="s">
        <v>16</v>
      </c>
      <c r="C10" s="15"/>
      <c r="D10" s="15"/>
      <c r="E10" s="2" t="b">
        <v>1</v>
      </c>
      <c r="F10" s="16" t="s">
        <v>17</v>
      </c>
      <c r="G10" s="16"/>
      <c r="H10" s="16"/>
      <c r="I10" s="16"/>
      <c r="J10" s="2" t="b">
        <v>1</v>
      </c>
      <c r="K10" s="17" t="s">
        <v>18</v>
      </c>
      <c r="L10" s="17"/>
      <c r="M10" s="17"/>
      <c r="N10" s="17"/>
      <c r="O10" s="17"/>
    </row>
    <row r="12" spans="1:18" x14ac:dyDescent="0.35">
      <c r="A12" s="11" t="s">
        <v>19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5" spans="1:18" x14ac:dyDescent="0.35">
      <c r="Q15" s="12">
        <v>506450380903.8006</v>
      </c>
    </row>
    <row r="16" spans="1:18" x14ac:dyDescent="0.35">
      <c r="Q16" s="12"/>
    </row>
    <row r="20" spans="17:18" x14ac:dyDescent="0.35">
      <c r="R20" s="13" t="s">
        <v>20</v>
      </c>
    </row>
    <row r="21" spans="17:18" x14ac:dyDescent="0.35">
      <c r="R21" s="13"/>
    </row>
    <row r="22" spans="17:18" x14ac:dyDescent="0.35">
      <c r="R22" s="13"/>
    </row>
    <row r="23" spans="17:18" x14ac:dyDescent="0.35">
      <c r="R23" s="13"/>
    </row>
    <row r="24" spans="17:18" x14ac:dyDescent="0.35">
      <c r="R24" s="13"/>
    </row>
    <row r="25" spans="17:18" x14ac:dyDescent="0.35">
      <c r="Q25" s="12">
        <v>0</v>
      </c>
      <c r="R25" s="13"/>
    </row>
    <row r="26" spans="17:18" x14ac:dyDescent="0.35">
      <c r="Q26" s="12"/>
      <c r="R26" s="13"/>
    </row>
    <row r="27" spans="17:18" x14ac:dyDescent="0.35">
      <c r="R27" s="13"/>
    </row>
    <row r="28" spans="17:18" x14ac:dyDescent="0.35">
      <c r="R28" s="13"/>
    </row>
    <row r="29" spans="17:18" x14ac:dyDescent="0.35">
      <c r="R29" s="13"/>
    </row>
    <row r="30" spans="17:18" x14ac:dyDescent="0.35">
      <c r="R30" s="13"/>
    </row>
    <row r="31" spans="17:18" x14ac:dyDescent="0.35">
      <c r="R31" s="13"/>
    </row>
    <row r="35" spans="1:18" x14ac:dyDescent="0.35">
      <c r="Q35" s="12">
        <v>-506450380903.8006</v>
      </c>
    </row>
    <row r="36" spans="1:18" x14ac:dyDescent="0.35">
      <c r="Q36" s="12"/>
    </row>
    <row r="39" spans="1:18" ht="22" customHeight="1" x14ac:dyDescent="0.35">
      <c r="A39" s="9" t="s">
        <v>21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20.149999999999999" customHeight="1" x14ac:dyDescent="0.35">
      <c r="A40" s="10" t="s">
        <v>22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</sheetData>
  <autoFilter ref="B4:I6" xr:uid="{00000000-0009-0000-0000-000000000000}"/>
  <mergeCells count="13">
    <mergeCell ref="A1:R2"/>
    <mergeCell ref="A3:R3"/>
    <mergeCell ref="A9:R9"/>
    <mergeCell ref="B10:D10"/>
    <mergeCell ref="F10:I10"/>
    <mergeCell ref="K10:O10"/>
    <mergeCell ref="A39:R39"/>
    <mergeCell ref="A40:R40"/>
    <mergeCell ref="A12:R12"/>
    <mergeCell ref="Q15:Q16"/>
    <mergeCell ref="Q25:Q26"/>
    <mergeCell ref="Q35:Q36"/>
    <mergeCell ref="R20:R3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B779"/>
  </sheetPr>
  <dimension ref="A1:I55"/>
  <sheetViews>
    <sheetView showGridLines="0" zoomScale="90" zoomScaleNormal="90" workbookViewId="0">
      <pane ySplit="8" topLeftCell="A9" activePane="bottomLeft" state="frozen"/>
      <selection pane="bottomLeft" activeCell="B35" sqref="B35"/>
    </sheetView>
  </sheetViews>
  <sheetFormatPr defaultRowHeight="14.5" x14ac:dyDescent="0.35"/>
  <cols>
    <col min="1" max="4" width="16.7265625" customWidth="1"/>
    <col min="5" max="5" width="3.7265625" customWidth="1"/>
    <col min="6" max="9" width="16.7265625" customWidth="1"/>
  </cols>
  <sheetData>
    <row r="1" spans="1:9" x14ac:dyDescent="0.35">
      <c r="A1" s="6" t="s">
        <v>4</v>
      </c>
      <c r="B1" s="18" t="s">
        <v>23</v>
      </c>
      <c r="C1" s="18"/>
      <c r="D1" s="18"/>
      <c r="F1" s="6" t="s">
        <v>4</v>
      </c>
      <c r="G1" s="18" t="s">
        <v>24</v>
      </c>
      <c r="H1" s="18"/>
      <c r="I1" s="18"/>
    </row>
    <row r="2" spans="1:9" x14ac:dyDescent="0.35">
      <c r="A2" s="6" t="s">
        <v>5</v>
      </c>
      <c r="B2" s="18" t="s">
        <v>11</v>
      </c>
      <c r="C2" s="18"/>
      <c r="D2" s="18"/>
      <c r="F2" s="6" t="s">
        <v>5</v>
      </c>
      <c r="G2" s="18" t="s">
        <v>11</v>
      </c>
      <c r="H2" s="18"/>
      <c r="I2" s="18"/>
    </row>
    <row r="3" spans="1:9" x14ac:dyDescent="0.35">
      <c r="A3" s="6" t="s">
        <v>25</v>
      </c>
      <c r="B3" s="18" t="s">
        <v>26</v>
      </c>
      <c r="C3" s="18"/>
      <c r="D3" s="18"/>
      <c r="F3" s="6" t="s">
        <v>25</v>
      </c>
      <c r="G3" s="18" t="s">
        <v>27</v>
      </c>
      <c r="H3" s="18"/>
      <c r="I3" s="18"/>
    </row>
    <row r="4" spans="1:9" x14ac:dyDescent="0.35">
      <c r="A4" s="6" t="s">
        <v>6</v>
      </c>
      <c r="B4" s="18" t="s">
        <v>12</v>
      </c>
      <c r="C4" s="18"/>
      <c r="D4" s="18"/>
      <c r="F4" s="6" t="s">
        <v>6</v>
      </c>
      <c r="G4" s="18" t="s">
        <v>12</v>
      </c>
      <c r="H4" s="18"/>
      <c r="I4" s="18"/>
    </row>
    <row r="5" spans="1:9" x14ac:dyDescent="0.35">
      <c r="A5" s="6" t="s">
        <v>7</v>
      </c>
      <c r="B5" s="18" t="s">
        <v>13</v>
      </c>
      <c r="C5" s="18"/>
      <c r="D5" s="18"/>
      <c r="F5" s="6" t="s">
        <v>7</v>
      </c>
      <c r="G5" s="18" t="s">
        <v>13</v>
      </c>
      <c r="H5" s="18"/>
      <c r="I5" s="18"/>
    </row>
    <row r="6" spans="1:9" x14ac:dyDescent="0.35">
      <c r="A6" s="6" t="s">
        <v>28</v>
      </c>
      <c r="B6" s="18" t="s">
        <v>29</v>
      </c>
      <c r="C6" s="18"/>
      <c r="D6" s="18"/>
      <c r="F6" s="6" t="s">
        <v>28</v>
      </c>
      <c r="G6" s="18" t="s">
        <v>30</v>
      </c>
      <c r="H6" s="18"/>
      <c r="I6" s="18"/>
    </row>
    <row r="7" spans="1:9" x14ac:dyDescent="0.35">
      <c r="A7" s="6" t="s">
        <v>10</v>
      </c>
      <c r="B7" s="18" t="s">
        <v>14</v>
      </c>
      <c r="C7" s="18"/>
      <c r="D7" s="18"/>
      <c r="F7" s="6" t="s">
        <v>10</v>
      </c>
      <c r="G7" s="18" t="s">
        <v>14</v>
      </c>
      <c r="H7" s="18"/>
      <c r="I7" s="18"/>
    </row>
    <row r="8" spans="1:9" x14ac:dyDescent="0.35">
      <c r="A8" s="7" t="s">
        <v>31</v>
      </c>
      <c r="B8" s="7" t="s">
        <v>32</v>
      </c>
      <c r="C8" s="7" t="s">
        <v>33</v>
      </c>
      <c r="D8" s="7" t="s">
        <v>34</v>
      </c>
      <c r="F8" s="7" t="s">
        <v>31</v>
      </c>
      <c r="G8" s="7" t="s">
        <v>32</v>
      </c>
      <c r="H8" s="7" t="s">
        <v>33</v>
      </c>
      <c r="I8" s="7" t="s">
        <v>34</v>
      </c>
    </row>
    <row r="9" spans="1:9" x14ac:dyDescent="0.35">
      <c r="A9" s="8">
        <v>2.8980000000000001</v>
      </c>
      <c r="B9" s="8">
        <v>9.0000889999999991</v>
      </c>
      <c r="C9" s="8">
        <v>5.114895E-11</v>
      </c>
      <c r="D9" s="8">
        <v>175958431209.2428</v>
      </c>
      <c r="F9" s="8">
        <v>2.9</v>
      </c>
      <c r="G9" s="8">
        <v>9.0001390000000008</v>
      </c>
      <c r="H9" s="8">
        <v>1.037923E-9</v>
      </c>
      <c r="I9" s="8">
        <v>8671297389.1126804</v>
      </c>
    </row>
    <row r="10" spans="1:9" x14ac:dyDescent="0.35">
      <c r="A10" s="8">
        <v>3.4249999999999998</v>
      </c>
      <c r="B10" s="8">
        <v>8.9999780000000005</v>
      </c>
      <c r="C10" s="8">
        <v>1.437514E-10</v>
      </c>
      <c r="D10" s="8">
        <v>62607932861.871262</v>
      </c>
      <c r="F10" s="8">
        <v>3.3940000000000001</v>
      </c>
      <c r="G10" s="8">
        <v>9.0000020000000003</v>
      </c>
      <c r="H10" s="8">
        <v>1.3086560000000001E-9</v>
      </c>
      <c r="I10" s="8">
        <v>6877286315.120245</v>
      </c>
    </row>
    <row r="11" spans="1:9" x14ac:dyDescent="0.35">
      <c r="A11" s="8">
        <v>3.6640000000000001</v>
      </c>
      <c r="B11" s="8">
        <v>9.0000409999999995</v>
      </c>
      <c r="C11" s="8">
        <v>-4.0028900000000001E-10</v>
      </c>
      <c r="D11" s="8">
        <v>-22483857912.6581</v>
      </c>
      <c r="F11" s="8">
        <v>3.6659999999999999</v>
      </c>
      <c r="G11" s="8">
        <v>8.9998229999999992</v>
      </c>
      <c r="H11" s="8">
        <v>1.412187E-10</v>
      </c>
      <c r="I11" s="8">
        <v>63729683108.540154</v>
      </c>
    </row>
    <row r="12" spans="1:9" x14ac:dyDescent="0.35">
      <c r="A12" s="8">
        <v>3.84</v>
      </c>
      <c r="B12" s="8">
        <v>8.9999149999999997</v>
      </c>
      <c r="C12" s="8">
        <v>-4.8127439999999999E-10</v>
      </c>
      <c r="D12" s="8">
        <v>-18700173954.816631</v>
      </c>
      <c r="F12" s="8">
        <v>3.8250000000000002</v>
      </c>
      <c r="G12" s="8">
        <v>9.0001250000000006</v>
      </c>
      <c r="H12" s="8">
        <v>9.1900209999999998E-10</v>
      </c>
      <c r="I12" s="8">
        <v>9793367175.1130943</v>
      </c>
    </row>
    <row r="13" spans="1:9" x14ac:dyDescent="0.35">
      <c r="A13" s="8">
        <v>4.0960000000000001</v>
      </c>
      <c r="B13" s="8">
        <v>9.0001750000000005</v>
      </c>
      <c r="C13" s="8">
        <v>-5.3746100000000003E-10</v>
      </c>
      <c r="D13" s="8">
        <v>-16745726666.67907</v>
      </c>
      <c r="F13" s="8">
        <v>4.0810000000000004</v>
      </c>
      <c r="G13" s="8">
        <v>9.0001470000000001</v>
      </c>
      <c r="H13" s="8">
        <v>1.586976E-9</v>
      </c>
      <c r="I13" s="8">
        <v>5671255898.0098</v>
      </c>
    </row>
    <row r="14" spans="1:9" x14ac:dyDescent="0.35">
      <c r="A14" s="8">
        <v>4.2889999999999997</v>
      </c>
      <c r="B14" s="8">
        <v>9.0001560000000005</v>
      </c>
      <c r="C14" s="8">
        <v>-2.8386980000000001E-10</v>
      </c>
      <c r="D14" s="8">
        <v>-31705225423.768219</v>
      </c>
      <c r="F14" s="8">
        <v>4.3070000000000004</v>
      </c>
      <c r="G14" s="8">
        <v>9.0000640000000001</v>
      </c>
      <c r="H14" s="8">
        <v>2.085248E-10</v>
      </c>
      <c r="I14" s="8">
        <v>43160640844.638153</v>
      </c>
    </row>
    <row r="15" spans="1:9" x14ac:dyDescent="0.35">
      <c r="A15" s="8">
        <v>4.51</v>
      </c>
      <c r="B15" s="8">
        <v>8.9999990000000007</v>
      </c>
      <c r="C15" s="8">
        <v>1.385566E-9</v>
      </c>
      <c r="D15" s="8">
        <v>6495539728.8905764</v>
      </c>
      <c r="F15" s="8">
        <v>4.4969999999999999</v>
      </c>
      <c r="G15" s="8">
        <v>9.0000129999999992</v>
      </c>
      <c r="H15" s="8">
        <v>1.3688700000000001E-9</v>
      </c>
      <c r="I15" s="8">
        <v>6574775544.7924194</v>
      </c>
    </row>
    <row r="16" spans="1:9" x14ac:dyDescent="0.35">
      <c r="A16" s="8">
        <v>4.7190000000000003</v>
      </c>
      <c r="B16" s="8">
        <v>9.0000669999999996</v>
      </c>
      <c r="C16" s="8">
        <v>1.5090409999999999E-9</v>
      </c>
      <c r="D16" s="8">
        <v>5964097065.6198206</v>
      </c>
      <c r="F16" s="8">
        <v>4.7190000000000003</v>
      </c>
      <c r="G16" s="8">
        <v>8.9999660000000006</v>
      </c>
      <c r="H16" s="8">
        <v>4.9848399999999995E-10</v>
      </c>
      <c r="I16" s="8">
        <v>18054673770.873291</v>
      </c>
    </row>
    <row r="17" spans="1:9" x14ac:dyDescent="0.35">
      <c r="A17" s="8">
        <v>4.9260000000000002</v>
      </c>
      <c r="B17" s="8">
        <v>8.9999830000000003</v>
      </c>
      <c r="C17" s="8">
        <v>4.5445929999999998E-10</v>
      </c>
      <c r="D17" s="8">
        <v>19803716196.367859</v>
      </c>
      <c r="F17" s="8">
        <v>4.9279999999999999</v>
      </c>
      <c r="G17" s="8">
        <v>9.0000309999999999</v>
      </c>
      <c r="H17" s="8">
        <v>1.43668E-9</v>
      </c>
      <c r="I17" s="8">
        <v>6264464598.9364367</v>
      </c>
    </row>
    <row r="18" spans="1:9" x14ac:dyDescent="0.35">
      <c r="A18" s="8">
        <v>5.1509999999999998</v>
      </c>
      <c r="B18" s="8">
        <v>8.9999939999999992</v>
      </c>
      <c r="C18" s="8">
        <v>1.398215E-9</v>
      </c>
      <c r="D18" s="8">
        <v>6436774029.7450676</v>
      </c>
      <c r="F18" s="8">
        <v>5.1349999999999998</v>
      </c>
      <c r="G18" s="8">
        <v>9.0001339999999992</v>
      </c>
      <c r="H18" s="8">
        <v>4.3016789999999998E-10</v>
      </c>
      <c r="I18" s="8">
        <v>20922374728.565289</v>
      </c>
    </row>
    <row r="19" spans="1:9" x14ac:dyDescent="0.35">
      <c r="A19" s="8">
        <v>5.359</v>
      </c>
      <c r="B19" s="8">
        <v>8.9998919999999991</v>
      </c>
      <c r="C19" s="8">
        <v>-6.6349489999999996E-10</v>
      </c>
      <c r="D19" s="8">
        <v>-13564372537.00066</v>
      </c>
      <c r="F19" s="8">
        <v>5.36</v>
      </c>
      <c r="G19" s="8">
        <v>8.9999099999999999</v>
      </c>
      <c r="H19" s="8">
        <v>1.3233230000000001E-9</v>
      </c>
      <c r="I19" s="8">
        <v>6800992652.5874634</v>
      </c>
    </row>
    <row r="20" spans="1:9" x14ac:dyDescent="0.35">
      <c r="A20" s="8">
        <v>5.5670000000000002</v>
      </c>
      <c r="B20" s="8">
        <v>8.9999800000000008</v>
      </c>
      <c r="C20" s="8">
        <v>-3.0462220000000001E-10</v>
      </c>
      <c r="D20" s="8">
        <v>-29544727862.90691</v>
      </c>
      <c r="F20" s="8">
        <v>5.5519999999999996</v>
      </c>
      <c r="G20" s="8">
        <v>9.0000499999999999</v>
      </c>
      <c r="H20" s="8">
        <v>1.0227379999999999E-9</v>
      </c>
      <c r="I20" s="8">
        <v>8799956587.1220207</v>
      </c>
    </row>
    <row r="21" spans="1:9" x14ac:dyDescent="0.35">
      <c r="A21" s="8">
        <v>5.79</v>
      </c>
      <c r="B21" s="8">
        <v>9.000019</v>
      </c>
      <c r="C21" s="8">
        <v>-5.465716E-10</v>
      </c>
      <c r="D21" s="8">
        <v>-16466312922.22282</v>
      </c>
      <c r="F21" s="8">
        <v>5.7750000000000004</v>
      </c>
      <c r="G21" s="8">
        <v>8.9999269999999996</v>
      </c>
      <c r="H21" s="8">
        <v>-6.2712039999999997E-11</v>
      </c>
      <c r="I21" s="8">
        <v>-143511947626.0061</v>
      </c>
    </row>
    <row r="22" spans="1:9" x14ac:dyDescent="0.35">
      <c r="A22" s="8">
        <v>5.9980000000000002</v>
      </c>
      <c r="B22" s="8">
        <v>9.0000739999999997</v>
      </c>
      <c r="C22" s="8">
        <v>3.9778300000000002E-10</v>
      </c>
      <c r="D22" s="8">
        <v>22625587317.708401</v>
      </c>
      <c r="F22" s="8">
        <v>5.9829999999999997</v>
      </c>
      <c r="G22" s="8">
        <v>9.0000739999999997</v>
      </c>
      <c r="H22" s="8">
        <v>1.171515E-9</v>
      </c>
      <c r="I22" s="8">
        <v>7682423187.0697346</v>
      </c>
    </row>
    <row r="23" spans="1:9" x14ac:dyDescent="0.35">
      <c r="A23" s="8">
        <v>6.2060000000000004</v>
      </c>
      <c r="B23" s="8">
        <v>8.9999690000000001</v>
      </c>
      <c r="C23" s="8">
        <v>1.943551E-10</v>
      </c>
      <c r="D23" s="8">
        <v>46306832185.005692</v>
      </c>
      <c r="F23" s="8">
        <v>6.1890000000000001</v>
      </c>
      <c r="G23" s="8">
        <v>9.0000499999999999</v>
      </c>
      <c r="H23" s="8">
        <v>-1.9192509999999999E-11</v>
      </c>
      <c r="I23" s="8">
        <v>-468935537873.8894</v>
      </c>
    </row>
    <row r="24" spans="1:9" x14ac:dyDescent="0.35">
      <c r="A24" s="8">
        <v>6.431</v>
      </c>
      <c r="B24" s="8">
        <v>9.0000330000000002</v>
      </c>
      <c r="C24" s="8">
        <v>-3.4916559999999999E-10</v>
      </c>
      <c r="D24" s="8">
        <v>-25775829577.713268</v>
      </c>
      <c r="F24" s="8">
        <v>6.399</v>
      </c>
      <c r="G24" s="8">
        <v>9.0000300000000006</v>
      </c>
      <c r="H24" s="8">
        <v>1.4685559999999999E-9</v>
      </c>
      <c r="I24" s="8">
        <v>6128489482.1852226</v>
      </c>
    </row>
    <row r="25" spans="1:9" x14ac:dyDescent="0.35">
      <c r="A25" s="8">
        <v>6.62</v>
      </c>
      <c r="B25" s="8">
        <v>9.0000119999999999</v>
      </c>
      <c r="C25" s="8">
        <v>-5.3847249999999997E-10</v>
      </c>
      <c r="D25" s="8">
        <v>-16713967751.370781</v>
      </c>
      <c r="F25" s="8">
        <v>6.6059999999999999</v>
      </c>
      <c r="G25" s="8">
        <v>9.0000499999999999</v>
      </c>
      <c r="H25" s="8">
        <v>-5.1518900000000005E-10</v>
      </c>
      <c r="I25" s="8">
        <v>-17469414137.33601</v>
      </c>
    </row>
    <row r="26" spans="1:9" x14ac:dyDescent="0.35">
      <c r="A26" s="8">
        <v>6.8449999999999998</v>
      </c>
      <c r="B26" s="8">
        <v>9.0000640000000001</v>
      </c>
      <c r="C26" s="8">
        <v>1.179612E-9</v>
      </c>
      <c r="D26" s="8">
        <v>7629681624.1272554</v>
      </c>
      <c r="F26" s="8">
        <v>6.8120000000000003</v>
      </c>
      <c r="G26" s="8">
        <v>9.0000719999999994</v>
      </c>
      <c r="H26" s="8">
        <v>1.351155E-9</v>
      </c>
      <c r="I26" s="8">
        <v>6661021126.3696613</v>
      </c>
    </row>
    <row r="27" spans="1:9" x14ac:dyDescent="0.35">
      <c r="A27" s="8">
        <v>7.0519999999999996</v>
      </c>
      <c r="B27" s="8">
        <v>9.000057</v>
      </c>
      <c r="C27" s="8">
        <v>9.5173839999999999E-11</v>
      </c>
      <c r="D27" s="8">
        <v>94564399208.858231</v>
      </c>
      <c r="F27" s="8">
        <v>7.0209999999999999</v>
      </c>
      <c r="G27" s="8">
        <v>9.0000610000000005</v>
      </c>
      <c r="H27" s="8">
        <v>-7.3942339999999996E-10</v>
      </c>
      <c r="I27" s="8">
        <v>-12171728673.99111</v>
      </c>
    </row>
    <row r="28" spans="1:9" x14ac:dyDescent="0.35">
      <c r="A28" s="8">
        <v>7.26</v>
      </c>
      <c r="B28" s="8">
        <v>9.0001230000000003</v>
      </c>
      <c r="C28" s="8">
        <v>1.2190870000000001E-9</v>
      </c>
      <c r="D28" s="8">
        <v>7382674903.4318304</v>
      </c>
      <c r="F28" s="8">
        <v>7.2290000000000001</v>
      </c>
      <c r="G28" s="8">
        <v>9.0000719999999994</v>
      </c>
      <c r="H28" s="8">
        <v>1.1016859999999999E-9</v>
      </c>
      <c r="I28" s="8">
        <v>8169362232.0697546</v>
      </c>
    </row>
    <row r="29" spans="1:9" x14ac:dyDescent="0.35">
      <c r="A29" s="8">
        <v>7.484</v>
      </c>
      <c r="B29" s="8">
        <v>9.0000440000000008</v>
      </c>
      <c r="C29" s="8">
        <v>9.1090550000000002E-10</v>
      </c>
      <c r="D29" s="8">
        <v>9880326773.7432709</v>
      </c>
      <c r="F29" s="8">
        <v>7.4370000000000003</v>
      </c>
      <c r="G29" s="8">
        <v>9.0000850000000003</v>
      </c>
      <c r="H29" s="8">
        <v>1.129514E-9</v>
      </c>
      <c r="I29" s="8">
        <v>7968103981.00422</v>
      </c>
    </row>
    <row r="30" spans="1:9" x14ac:dyDescent="0.35">
      <c r="A30" s="8">
        <v>7.6760000000000002</v>
      </c>
      <c r="B30" s="8">
        <v>9.000019</v>
      </c>
      <c r="C30" s="8">
        <v>1.034883E-9</v>
      </c>
      <c r="D30" s="8">
        <v>8696653631.376688</v>
      </c>
      <c r="F30" s="8">
        <v>7.6449999999999996</v>
      </c>
      <c r="G30" s="8">
        <v>9.0000280000000004</v>
      </c>
      <c r="H30" s="8">
        <v>1.4503449999999999E-9</v>
      </c>
      <c r="I30" s="8">
        <v>6205439395.4541845</v>
      </c>
    </row>
    <row r="31" spans="1:9" x14ac:dyDescent="0.35">
      <c r="A31" s="8">
        <v>7.8979999999999997</v>
      </c>
      <c r="B31" s="8">
        <v>9.0001069999999999</v>
      </c>
      <c r="C31" s="8">
        <v>1.066258E-9</v>
      </c>
      <c r="D31" s="8">
        <v>8440834207.1055965</v>
      </c>
      <c r="F31" s="8">
        <v>7.8520000000000003</v>
      </c>
      <c r="G31" s="8">
        <v>9.0001139999999999</v>
      </c>
      <c r="H31" s="8">
        <v>-4.8127610000000001E-10</v>
      </c>
      <c r="I31" s="8">
        <v>-18700521384.710361</v>
      </c>
    </row>
    <row r="32" spans="1:9" x14ac:dyDescent="0.35">
      <c r="A32" s="8">
        <v>8.1080000000000005</v>
      </c>
      <c r="B32" s="8">
        <v>9.000095</v>
      </c>
      <c r="C32" s="8">
        <v>5.8754919999999995E-10</v>
      </c>
      <c r="D32" s="8">
        <v>15318027834.94557</v>
      </c>
      <c r="F32" s="8">
        <v>8.06</v>
      </c>
      <c r="G32" s="8">
        <v>9.0000630000000008</v>
      </c>
      <c r="H32" s="8">
        <v>1.2843659999999999E-9</v>
      </c>
      <c r="I32" s="8">
        <v>7007397424.0987387</v>
      </c>
    </row>
    <row r="33" spans="1:9" x14ac:dyDescent="0.35">
      <c r="A33" s="8">
        <v>8.3149999999999995</v>
      </c>
      <c r="B33" s="8">
        <v>9.0000540000000004</v>
      </c>
      <c r="C33" s="8">
        <v>-4.2357260000000002E-10</v>
      </c>
      <c r="D33" s="8">
        <v>-21247960798.219719</v>
      </c>
      <c r="F33" s="8">
        <v>8.2680000000000007</v>
      </c>
      <c r="G33" s="8">
        <v>9.0000370000000007</v>
      </c>
      <c r="H33" s="8">
        <v>1.4457810000000001E-9</v>
      </c>
      <c r="I33" s="8">
        <v>6225034773.5929585</v>
      </c>
    </row>
    <row r="34" spans="1:9" x14ac:dyDescent="0.35">
      <c r="A34" s="8">
        <v>8.5389999999999997</v>
      </c>
      <c r="B34" s="8">
        <v>9</v>
      </c>
      <c r="C34" s="8">
        <v>-5.5922659999999999E-10</v>
      </c>
      <c r="D34" s="8">
        <v>-16093655058.6113</v>
      </c>
      <c r="F34" s="8">
        <v>8.4770000000000003</v>
      </c>
      <c r="G34" s="8">
        <v>8.9998749999999994</v>
      </c>
      <c r="H34" s="8">
        <v>-9.2568820000000001E-11</v>
      </c>
      <c r="I34" s="8">
        <v>-97223611578.931213</v>
      </c>
    </row>
    <row r="35" spans="1:9" x14ac:dyDescent="0.35">
      <c r="A35" s="8">
        <v>8.7309999999999999</v>
      </c>
      <c r="B35" s="8">
        <v>9.0000350000000005</v>
      </c>
      <c r="C35" s="8">
        <v>1.2757540000000001E-9</v>
      </c>
      <c r="D35" s="8">
        <v>7054679036.867609</v>
      </c>
      <c r="F35" s="8">
        <v>8.6989999999999998</v>
      </c>
      <c r="G35" s="8">
        <v>8.9999660000000006</v>
      </c>
      <c r="H35" s="8">
        <v>-3.1843290000000003E-11</v>
      </c>
      <c r="I35" s="8">
        <v>-282633044512.67438</v>
      </c>
    </row>
    <row r="36" spans="1:9" x14ac:dyDescent="0.35">
      <c r="A36" s="8">
        <v>8.9540000000000006</v>
      </c>
      <c r="B36" s="8">
        <v>9.0000029999999995</v>
      </c>
      <c r="C36" s="8">
        <v>-3.2349180000000002E-11</v>
      </c>
      <c r="D36" s="8">
        <v>-278214254580.79608</v>
      </c>
      <c r="F36" s="8">
        <v>8.9060000000000006</v>
      </c>
      <c r="G36" s="8">
        <v>9.0000739999999997</v>
      </c>
      <c r="H36" s="8">
        <v>1.3501459999999999E-9</v>
      </c>
      <c r="I36" s="8">
        <v>6666000565.8647289</v>
      </c>
    </row>
    <row r="37" spans="1:9" x14ac:dyDescent="0.35">
      <c r="A37" s="8">
        <v>9.1620000000000008</v>
      </c>
      <c r="B37" s="8">
        <v>8.9999889999999994</v>
      </c>
      <c r="C37" s="8">
        <v>-4.7165840000000001E-10</v>
      </c>
      <c r="D37" s="8">
        <v>-19081583196.652489</v>
      </c>
      <c r="F37" s="8">
        <v>9.1140000000000008</v>
      </c>
      <c r="G37" s="8">
        <v>9.0000769999999992</v>
      </c>
      <c r="H37" s="8">
        <v>1.3597600000000001E-9</v>
      </c>
      <c r="I37" s="8">
        <v>6618871712.6551733</v>
      </c>
    </row>
    <row r="38" spans="1:9" x14ac:dyDescent="0.35">
      <c r="A38" s="8">
        <v>9.3689999999999998</v>
      </c>
      <c r="B38" s="8">
        <v>9.0000370000000007</v>
      </c>
      <c r="C38" s="8">
        <v>-5.3442370000000004E-10</v>
      </c>
      <c r="D38" s="8">
        <v>-16840639739.59239</v>
      </c>
      <c r="F38" s="8">
        <v>9.3209999999999997</v>
      </c>
      <c r="G38" s="8">
        <v>9.0000640000000001</v>
      </c>
      <c r="H38" s="8">
        <v>-4.4483180000000001E-10</v>
      </c>
      <c r="I38" s="8">
        <v>-20232510355.599579</v>
      </c>
    </row>
    <row r="39" spans="1:9" x14ac:dyDescent="0.35">
      <c r="A39" s="8">
        <v>9.5779999999999994</v>
      </c>
      <c r="B39" s="8">
        <v>8.9999649999999995</v>
      </c>
      <c r="C39" s="8">
        <v>7.929953E-10</v>
      </c>
      <c r="D39" s="8">
        <v>11349329560.96965</v>
      </c>
      <c r="F39" s="8">
        <v>9.5449999999999999</v>
      </c>
      <c r="G39" s="8">
        <v>9.0001049999999996</v>
      </c>
      <c r="H39" s="8">
        <v>6.720556E-10</v>
      </c>
      <c r="I39" s="8">
        <v>13391905372.115049</v>
      </c>
    </row>
    <row r="40" spans="1:9" x14ac:dyDescent="0.35">
      <c r="A40" s="8">
        <v>9.7840000000000007</v>
      </c>
      <c r="B40" s="8">
        <v>8.9999819999999993</v>
      </c>
      <c r="C40" s="8">
        <v>8.4106969999999998E-10</v>
      </c>
      <c r="D40" s="8">
        <v>10700637533.369711</v>
      </c>
      <c r="F40" s="8">
        <v>9.7379999999999995</v>
      </c>
      <c r="G40" s="8">
        <v>9.0000599999999995</v>
      </c>
      <c r="H40" s="8">
        <v>-5.6985529999999999E-10</v>
      </c>
      <c r="I40" s="8">
        <v>-15793588302.153191</v>
      </c>
    </row>
    <row r="41" spans="1:9" x14ac:dyDescent="0.35">
      <c r="A41" s="8">
        <v>9.9920000000000009</v>
      </c>
      <c r="B41" s="8">
        <v>9.0000440000000008</v>
      </c>
      <c r="C41" s="8">
        <v>1.129008E-9</v>
      </c>
      <c r="D41" s="8">
        <v>7971638819.2112017</v>
      </c>
      <c r="F41" s="8">
        <v>9.9600000000000009</v>
      </c>
      <c r="G41" s="8">
        <v>9.0000160000000005</v>
      </c>
      <c r="H41" s="8">
        <v>-5.3897930000000002E-10</v>
      </c>
      <c r="I41" s="8">
        <v>-16698259098.262211</v>
      </c>
    </row>
    <row r="42" spans="1:9" x14ac:dyDescent="0.35">
      <c r="A42" s="8">
        <v>10.201000000000001</v>
      </c>
      <c r="B42" s="8">
        <v>9.0000119999999999</v>
      </c>
      <c r="C42" s="8">
        <v>9.4480710000000008E-10</v>
      </c>
      <c r="D42" s="8">
        <v>9525766688.2477913</v>
      </c>
      <c r="F42" s="8">
        <v>10.167999999999999</v>
      </c>
      <c r="G42" s="8">
        <v>8.9999610000000008</v>
      </c>
      <c r="H42" s="8">
        <v>-3.7599219999999999E-10</v>
      </c>
      <c r="I42" s="8">
        <v>-23936563045.722759</v>
      </c>
    </row>
    <row r="43" spans="1:9" x14ac:dyDescent="0.35">
      <c r="A43" s="8">
        <v>10.407999999999999</v>
      </c>
      <c r="B43" s="8">
        <v>9.0000440000000008</v>
      </c>
      <c r="C43" s="8">
        <v>7.4930870000000005E-11</v>
      </c>
      <c r="D43" s="8">
        <v>120111297253.0547</v>
      </c>
      <c r="F43" s="8">
        <v>10.375999999999999</v>
      </c>
      <c r="G43" s="8">
        <v>9.0001339999999992</v>
      </c>
      <c r="H43" s="8">
        <v>-7.3993090000000003E-10</v>
      </c>
      <c r="I43" s="8">
        <v>-12163479049.192301</v>
      </c>
    </row>
    <row r="44" spans="1:9" x14ac:dyDescent="0.35">
      <c r="A44" s="8">
        <v>10.616</v>
      </c>
      <c r="B44" s="8">
        <v>9</v>
      </c>
      <c r="C44" s="8">
        <v>7.8844509999999999E-10</v>
      </c>
      <c r="D44" s="8">
        <v>11414872132.50485</v>
      </c>
      <c r="F44" s="8">
        <v>10.584</v>
      </c>
      <c r="G44" s="8">
        <v>9.0000060000000008</v>
      </c>
      <c r="H44" s="8">
        <v>6.4523489999999996E-10</v>
      </c>
      <c r="I44" s="8">
        <v>13948417855.264799</v>
      </c>
    </row>
    <row r="45" spans="1:9" x14ac:dyDescent="0.35">
      <c r="A45" s="8">
        <v>10.839</v>
      </c>
      <c r="B45" s="8">
        <v>9.0000230000000006</v>
      </c>
      <c r="C45" s="8">
        <v>9.6050090000000002E-10</v>
      </c>
      <c r="D45" s="8">
        <v>9370134895.2405987</v>
      </c>
      <c r="F45" s="8">
        <v>10.791</v>
      </c>
      <c r="G45" s="8">
        <v>9.0000389999999992</v>
      </c>
      <c r="H45" s="8">
        <v>-6.5742270000000002E-10</v>
      </c>
      <c r="I45" s="8">
        <v>-13689881715.37125</v>
      </c>
    </row>
    <row r="46" spans="1:9" x14ac:dyDescent="0.35">
      <c r="A46" s="8">
        <v>11.031000000000001</v>
      </c>
      <c r="B46" s="8">
        <v>9.0000470000000004</v>
      </c>
      <c r="C46" s="8">
        <v>1.38405E-9</v>
      </c>
      <c r="D46" s="8">
        <v>6502689209.2048702</v>
      </c>
      <c r="F46" s="8">
        <v>11</v>
      </c>
      <c r="G46" s="8">
        <v>9.0001510000000007</v>
      </c>
      <c r="H46" s="8">
        <v>1.175063E-9</v>
      </c>
      <c r="I46" s="8">
        <v>7659292310.2846403</v>
      </c>
    </row>
    <row r="47" spans="1:9" x14ac:dyDescent="0.35">
      <c r="A47" s="8">
        <v>11.255000000000001</v>
      </c>
      <c r="B47" s="8">
        <v>9.0000280000000004</v>
      </c>
      <c r="C47" s="8">
        <v>-6.538809E-10</v>
      </c>
      <c r="D47" s="8">
        <v>-13764017269.81167</v>
      </c>
      <c r="F47" s="8">
        <v>11.208</v>
      </c>
      <c r="G47" s="8">
        <v>9.0000739999999997</v>
      </c>
      <c r="H47" s="8">
        <v>-5.4100419999999999E-10</v>
      </c>
      <c r="I47" s="8">
        <v>-16635867152.23283</v>
      </c>
    </row>
    <row r="48" spans="1:9" x14ac:dyDescent="0.35">
      <c r="A48" s="8">
        <v>11.462</v>
      </c>
      <c r="B48" s="8">
        <v>9.0001099999999994</v>
      </c>
      <c r="C48" s="8">
        <v>1.0849799999999999E-9</v>
      </c>
      <c r="D48" s="8">
        <v>8295185164.7034969</v>
      </c>
      <c r="F48" s="8">
        <v>11.416</v>
      </c>
      <c r="G48" s="8">
        <v>8.9999990000000007</v>
      </c>
      <c r="H48" s="8">
        <v>1.4012539999999999E-9</v>
      </c>
      <c r="I48" s="8">
        <v>6422817704.7130651</v>
      </c>
    </row>
    <row r="49" spans="1:9" x14ac:dyDescent="0.35">
      <c r="A49" s="8">
        <v>11.670999999999999</v>
      </c>
      <c r="B49" s="8">
        <v>8.9999780000000005</v>
      </c>
      <c r="C49" s="8">
        <v>1.290937E-9</v>
      </c>
      <c r="D49" s="8">
        <v>6971663218.2670422</v>
      </c>
      <c r="F49" s="8">
        <v>11.622999999999999</v>
      </c>
      <c r="G49" s="8">
        <v>9.0000719999999994</v>
      </c>
      <c r="H49" s="8">
        <v>-8.2496629999999995E-10</v>
      </c>
      <c r="I49" s="8">
        <v>-10909623823.421631</v>
      </c>
    </row>
    <row r="50" spans="1:9" x14ac:dyDescent="0.35">
      <c r="A50" s="8">
        <v>11.878</v>
      </c>
      <c r="B50" s="8">
        <v>9.0000099999999996</v>
      </c>
      <c r="C50" s="8">
        <v>-5.6074510000000004E-10</v>
      </c>
      <c r="D50" s="8">
        <v>-16050091209.000311</v>
      </c>
      <c r="F50" s="8">
        <v>11.846</v>
      </c>
      <c r="G50" s="8">
        <v>8.9999929999999999</v>
      </c>
      <c r="H50" s="8">
        <v>-4.033258E-10</v>
      </c>
      <c r="I50" s="8">
        <v>-22314449013.675789</v>
      </c>
    </row>
    <row r="51" spans="1:9" x14ac:dyDescent="0.35">
      <c r="A51" s="8">
        <v>12.085000000000001</v>
      </c>
      <c r="B51" s="8">
        <v>8.9999710000000004</v>
      </c>
      <c r="C51" s="8">
        <v>-5.5163300000000001E-10</v>
      </c>
      <c r="D51" s="8">
        <v>-16315142495.10091</v>
      </c>
      <c r="F51" s="8">
        <v>12.055</v>
      </c>
      <c r="G51" s="8">
        <v>9.0001420000000003</v>
      </c>
      <c r="H51" s="8">
        <v>1.253494E-9</v>
      </c>
      <c r="I51" s="8">
        <v>7180043941.1756258</v>
      </c>
    </row>
    <row r="52" spans="1:9" x14ac:dyDescent="0.35">
      <c r="A52" s="8">
        <v>12.308</v>
      </c>
      <c r="B52" s="8">
        <v>9.0000990000000005</v>
      </c>
      <c r="C52" s="8">
        <v>-5.6132709999999998E-11</v>
      </c>
      <c r="D52" s="8">
        <v>-160336085679.81131</v>
      </c>
      <c r="F52" s="8">
        <v>12.262</v>
      </c>
      <c r="G52" s="8">
        <v>9.0000440000000008</v>
      </c>
      <c r="H52" s="8">
        <v>1.13761E-9</v>
      </c>
      <c r="I52" s="8">
        <v>7911361538.6643934</v>
      </c>
    </row>
    <row r="53" spans="1:9" x14ac:dyDescent="0.35">
      <c r="A53" s="8">
        <v>12.503</v>
      </c>
      <c r="B53" s="8">
        <v>9.0001470000000001</v>
      </c>
      <c r="C53" s="8">
        <v>3.942422E-10</v>
      </c>
      <c r="D53" s="8">
        <v>22828979241.694569</v>
      </c>
      <c r="F53" s="8">
        <v>12.468999999999999</v>
      </c>
      <c r="G53" s="8">
        <v>9.0001139999999999</v>
      </c>
      <c r="H53" s="8">
        <v>-7.2828720000000001E-10</v>
      </c>
      <c r="I53" s="8">
        <v>-12357918689.220409</v>
      </c>
    </row>
    <row r="54" spans="1:9" x14ac:dyDescent="0.35">
      <c r="A54" s="8">
        <v>12.725</v>
      </c>
      <c r="B54" s="8">
        <v>9.0001569999999997</v>
      </c>
      <c r="C54" s="8">
        <v>-4.2812799999999998E-10</v>
      </c>
      <c r="D54" s="8">
        <v>-21022117217.280819</v>
      </c>
      <c r="F54" s="8">
        <v>12.677</v>
      </c>
      <c r="G54" s="8">
        <v>9.0000699999999991</v>
      </c>
      <c r="H54" s="8">
        <v>1.4255429999999999E-9</v>
      </c>
      <c r="I54" s="8">
        <v>6313432846.2908516</v>
      </c>
    </row>
    <row r="55" spans="1:9" x14ac:dyDescent="0.35">
      <c r="A55" s="8">
        <v>12.930999999999999</v>
      </c>
      <c r="B55" s="8">
        <v>9.0000300000000006</v>
      </c>
      <c r="C55" s="8">
        <v>-7.2727409999999998E-10</v>
      </c>
      <c r="D55" s="8">
        <v>-12375017892.15373</v>
      </c>
      <c r="F55" s="8">
        <v>12.885999999999999</v>
      </c>
      <c r="G55" s="8">
        <v>9.0001680000000004</v>
      </c>
      <c r="H55" s="8">
        <v>1.462991E-9</v>
      </c>
      <c r="I55" s="8">
        <v>6151895671.2652369</v>
      </c>
    </row>
  </sheetData>
  <mergeCells count="14">
    <mergeCell ref="G1:I1"/>
    <mergeCell ref="B2:D2"/>
    <mergeCell ref="B4:D4"/>
    <mergeCell ref="G5:I5"/>
    <mergeCell ref="G4:I4"/>
    <mergeCell ref="B1:D1"/>
    <mergeCell ref="B7:D7"/>
    <mergeCell ref="B3:D3"/>
    <mergeCell ref="G7:I7"/>
    <mergeCell ref="G3:I3"/>
    <mergeCell ref="G2:I2"/>
    <mergeCell ref="B6:D6"/>
    <mergeCell ref="G6:I6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7"/>
  <sheetViews>
    <sheetView showGridLines="0" workbookViewId="0"/>
  </sheetViews>
  <sheetFormatPr defaultRowHeight="14.5" x14ac:dyDescent="0.35"/>
  <sheetData>
    <row r="1" spans="1:5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5">
      <c r="A2" t="s">
        <v>23</v>
      </c>
      <c r="B2" t="s">
        <v>40</v>
      </c>
      <c r="C2">
        <f>IF(AND(대시보드!$A$5,대시보드!$A$10),'Raw Data'!A9,NA())</f>
        <v>2.8980000000000001</v>
      </c>
      <c r="D2">
        <f>IF(AND(대시보드!$A$5,대시보드!$A$10),'Raw Data'!B9,NA())</f>
        <v>9.0000889999999991</v>
      </c>
      <c r="E2">
        <f>'Raw Data'!B9</f>
        <v>9.0000889999999991</v>
      </c>
    </row>
    <row r="3" spans="1:5" x14ac:dyDescent="0.35">
      <c r="A3" t="s">
        <v>23</v>
      </c>
      <c r="B3" t="s">
        <v>40</v>
      </c>
      <c r="C3">
        <f>IF(AND(대시보드!$A$5,대시보드!$A$10),'Raw Data'!A10,NA())</f>
        <v>3.4249999999999998</v>
      </c>
      <c r="D3">
        <f>IF(AND(대시보드!$A$5,대시보드!$A$10),'Raw Data'!B10,NA())</f>
        <v>8.9999780000000005</v>
      </c>
      <c r="E3">
        <f>'Raw Data'!B10</f>
        <v>8.9999780000000005</v>
      </c>
    </row>
    <row r="4" spans="1:5" x14ac:dyDescent="0.35">
      <c r="A4" t="s">
        <v>23</v>
      </c>
      <c r="B4" t="s">
        <v>40</v>
      </c>
      <c r="C4">
        <f>IF(AND(대시보드!$A$5,대시보드!$A$10),'Raw Data'!A11,NA())</f>
        <v>3.6640000000000001</v>
      </c>
      <c r="D4">
        <f>IF(AND(대시보드!$A$5,대시보드!$A$10),'Raw Data'!B11,NA())</f>
        <v>9.0000409999999995</v>
      </c>
      <c r="E4">
        <f>'Raw Data'!B11</f>
        <v>9.0000409999999995</v>
      </c>
    </row>
    <row r="5" spans="1:5" x14ac:dyDescent="0.35">
      <c r="A5" t="s">
        <v>23</v>
      </c>
      <c r="B5" t="s">
        <v>40</v>
      </c>
      <c r="C5">
        <f>IF(AND(대시보드!$A$5,대시보드!$A$10),'Raw Data'!A12,NA())</f>
        <v>3.84</v>
      </c>
      <c r="D5">
        <f>IF(AND(대시보드!$A$5,대시보드!$A$10),'Raw Data'!B12,NA())</f>
        <v>8.9999149999999997</v>
      </c>
      <c r="E5">
        <f>'Raw Data'!B12</f>
        <v>8.9999149999999997</v>
      </c>
    </row>
    <row r="6" spans="1:5" x14ac:dyDescent="0.35">
      <c r="A6" t="s">
        <v>23</v>
      </c>
      <c r="B6" t="s">
        <v>40</v>
      </c>
      <c r="C6">
        <f>IF(AND(대시보드!$A$5,대시보드!$A$10),'Raw Data'!A13,NA())</f>
        <v>4.0960000000000001</v>
      </c>
      <c r="D6">
        <f>IF(AND(대시보드!$A$5,대시보드!$A$10),'Raw Data'!B13,NA())</f>
        <v>9.0001750000000005</v>
      </c>
      <c r="E6">
        <f>'Raw Data'!B13</f>
        <v>9.0001750000000005</v>
      </c>
    </row>
    <row r="7" spans="1:5" x14ac:dyDescent="0.35">
      <c r="A7" t="s">
        <v>23</v>
      </c>
      <c r="B7" t="s">
        <v>40</v>
      </c>
      <c r="C7">
        <f>IF(AND(대시보드!$A$5,대시보드!$A$10),'Raw Data'!A14,NA())</f>
        <v>4.2889999999999997</v>
      </c>
      <c r="D7">
        <f>IF(AND(대시보드!$A$5,대시보드!$A$10),'Raw Data'!B14,NA())</f>
        <v>9.0001560000000005</v>
      </c>
      <c r="E7">
        <f>'Raw Data'!B14</f>
        <v>9.0001560000000005</v>
      </c>
    </row>
    <row r="8" spans="1:5" x14ac:dyDescent="0.35">
      <c r="A8" t="s">
        <v>23</v>
      </c>
      <c r="B8" t="s">
        <v>40</v>
      </c>
      <c r="C8">
        <f>IF(AND(대시보드!$A$5,대시보드!$A$10),'Raw Data'!A15,NA())</f>
        <v>4.51</v>
      </c>
      <c r="D8">
        <f>IF(AND(대시보드!$A$5,대시보드!$A$10),'Raw Data'!B15,NA())</f>
        <v>8.9999990000000007</v>
      </c>
      <c r="E8">
        <f>'Raw Data'!B15</f>
        <v>8.9999990000000007</v>
      </c>
    </row>
    <row r="9" spans="1:5" x14ac:dyDescent="0.35">
      <c r="A9" t="s">
        <v>23</v>
      </c>
      <c r="B9" t="s">
        <v>40</v>
      </c>
      <c r="C9">
        <f>IF(AND(대시보드!$A$5,대시보드!$A$10),'Raw Data'!A16,NA())</f>
        <v>4.7190000000000003</v>
      </c>
      <c r="D9">
        <f>IF(AND(대시보드!$A$5,대시보드!$A$10),'Raw Data'!B16,NA())</f>
        <v>9.0000669999999996</v>
      </c>
      <c r="E9">
        <f>'Raw Data'!B16</f>
        <v>9.0000669999999996</v>
      </c>
    </row>
    <row r="10" spans="1:5" x14ac:dyDescent="0.35">
      <c r="A10" t="s">
        <v>23</v>
      </c>
      <c r="B10" t="s">
        <v>40</v>
      </c>
      <c r="C10">
        <f>IF(AND(대시보드!$A$5,대시보드!$A$10),'Raw Data'!A17,NA())</f>
        <v>4.9260000000000002</v>
      </c>
      <c r="D10">
        <f>IF(AND(대시보드!$A$5,대시보드!$A$10),'Raw Data'!B17,NA())</f>
        <v>8.9999830000000003</v>
      </c>
      <c r="E10">
        <f>'Raw Data'!B17</f>
        <v>8.9999830000000003</v>
      </c>
    </row>
    <row r="11" spans="1:5" x14ac:dyDescent="0.35">
      <c r="A11" t="s">
        <v>23</v>
      </c>
      <c r="B11" t="s">
        <v>40</v>
      </c>
      <c r="C11">
        <f>IF(AND(대시보드!$A$5,대시보드!$A$10),'Raw Data'!A18,NA())</f>
        <v>5.1509999999999998</v>
      </c>
      <c r="D11">
        <f>IF(AND(대시보드!$A$5,대시보드!$A$10),'Raw Data'!B18,NA())</f>
        <v>8.9999939999999992</v>
      </c>
      <c r="E11">
        <f>'Raw Data'!B18</f>
        <v>8.9999939999999992</v>
      </c>
    </row>
    <row r="12" spans="1:5" x14ac:dyDescent="0.35">
      <c r="A12" t="s">
        <v>23</v>
      </c>
      <c r="B12" t="s">
        <v>40</v>
      </c>
      <c r="C12">
        <f>IF(AND(대시보드!$A$5,대시보드!$A$10),'Raw Data'!A19,NA())</f>
        <v>5.359</v>
      </c>
      <c r="D12">
        <f>IF(AND(대시보드!$A$5,대시보드!$A$10),'Raw Data'!B19,NA())</f>
        <v>8.9998919999999991</v>
      </c>
      <c r="E12">
        <f>'Raw Data'!B19</f>
        <v>8.9998919999999991</v>
      </c>
    </row>
    <row r="13" spans="1:5" x14ac:dyDescent="0.35">
      <c r="A13" t="s">
        <v>23</v>
      </c>
      <c r="B13" t="s">
        <v>40</v>
      </c>
      <c r="C13">
        <f>IF(AND(대시보드!$A$5,대시보드!$A$10),'Raw Data'!A20,NA())</f>
        <v>5.5670000000000002</v>
      </c>
      <c r="D13">
        <f>IF(AND(대시보드!$A$5,대시보드!$A$10),'Raw Data'!B20,NA())</f>
        <v>8.9999800000000008</v>
      </c>
      <c r="E13">
        <f>'Raw Data'!B20</f>
        <v>8.9999800000000008</v>
      </c>
    </row>
    <row r="14" spans="1:5" x14ac:dyDescent="0.35">
      <c r="A14" t="s">
        <v>23</v>
      </c>
      <c r="B14" t="s">
        <v>40</v>
      </c>
      <c r="C14">
        <f>IF(AND(대시보드!$A$5,대시보드!$A$10),'Raw Data'!A21,NA())</f>
        <v>5.79</v>
      </c>
      <c r="D14">
        <f>IF(AND(대시보드!$A$5,대시보드!$A$10),'Raw Data'!B21,NA())</f>
        <v>9.000019</v>
      </c>
      <c r="E14">
        <f>'Raw Data'!B21</f>
        <v>9.000019</v>
      </c>
    </row>
    <row r="15" spans="1:5" x14ac:dyDescent="0.35">
      <c r="A15" t="s">
        <v>23</v>
      </c>
      <c r="B15" t="s">
        <v>40</v>
      </c>
      <c r="C15">
        <f>IF(AND(대시보드!$A$5,대시보드!$A$10),'Raw Data'!A22,NA())</f>
        <v>5.9980000000000002</v>
      </c>
      <c r="D15">
        <f>IF(AND(대시보드!$A$5,대시보드!$A$10),'Raw Data'!B22,NA())</f>
        <v>9.0000739999999997</v>
      </c>
      <c r="E15">
        <f>'Raw Data'!B22</f>
        <v>9.0000739999999997</v>
      </c>
    </row>
    <row r="16" spans="1:5" x14ac:dyDescent="0.35">
      <c r="A16" t="s">
        <v>23</v>
      </c>
      <c r="B16" t="s">
        <v>40</v>
      </c>
      <c r="C16">
        <f>IF(AND(대시보드!$A$5,대시보드!$A$10),'Raw Data'!A23,NA())</f>
        <v>6.2060000000000004</v>
      </c>
      <c r="D16">
        <f>IF(AND(대시보드!$A$5,대시보드!$A$10),'Raw Data'!B23,NA())</f>
        <v>8.9999690000000001</v>
      </c>
      <c r="E16">
        <f>'Raw Data'!B23</f>
        <v>8.9999690000000001</v>
      </c>
    </row>
    <row r="17" spans="1:5" x14ac:dyDescent="0.35">
      <c r="A17" t="s">
        <v>23</v>
      </c>
      <c r="B17" t="s">
        <v>40</v>
      </c>
      <c r="C17">
        <f>IF(AND(대시보드!$A$5,대시보드!$A$10),'Raw Data'!A24,NA())</f>
        <v>6.431</v>
      </c>
      <c r="D17">
        <f>IF(AND(대시보드!$A$5,대시보드!$A$10),'Raw Data'!B24,NA())</f>
        <v>9.0000330000000002</v>
      </c>
      <c r="E17">
        <f>'Raw Data'!B24</f>
        <v>9.0000330000000002</v>
      </c>
    </row>
    <row r="18" spans="1:5" x14ac:dyDescent="0.35">
      <c r="A18" t="s">
        <v>23</v>
      </c>
      <c r="B18" t="s">
        <v>40</v>
      </c>
      <c r="C18">
        <f>IF(AND(대시보드!$A$5,대시보드!$A$10),'Raw Data'!A25,NA())</f>
        <v>6.62</v>
      </c>
      <c r="D18">
        <f>IF(AND(대시보드!$A$5,대시보드!$A$10),'Raw Data'!B25,NA())</f>
        <v>9.0000119999999999</v>
      </c>
      <c r="E18">
        <f>'Raw Data'!B25</f>
        <v>9.0000119999999999</v>
      </c>
    </row>
    <row r="19" spans="1:5" x14ac:dyDescent="0.35">
      <c r="A19" t="s">
        <v>23</v>
      </c>
      <c r="B19" t="s">
        <v>40</v>
      </c>
      <c r="C19">
        <f>IF(AND(대시보드!$A$5,대시보드!$A$10),'Raw Data'!A26,NA())</f>
        <v>6.8449999999999998</v>
      </c>
      <c r="D19">
        <f>IF(AND(대시보드!$A$5,대시보드!$A$10),'Raw Data'!B26,NA())</f>
        <v>9.0000640000000001</v>
      </c>
      <c r="E19">
        <f>'Raw Data'!B26</f>
        <v>9.0000640000000001</v>
      </c>
    </row>
    <row r="20" spans="1:5" x14ac:dyDescent="0.35">
      <c r="A20" t="s">
        <v>23</v>
      </c>
      <c r="B20" t="s">
        <v>40</v>
      </c>
      <c r="C20">
        <f>IF(AND(대시보드!$A$5,대시보드!$A$10),'Raw Data'!A27,NA())</f>
        <v>7.0519999999999996</v>
      </c>
      <c r="D20">
        <f>IF(AND(대시보드!$A$5,대시보드!$A$10),'Raw Data'!B27,NA())</f>
        <v>9.000057</v>
      </c>
      <c r="E20">
        <f>'Raw Data'!B27</f>
        <v>9.000057</v>
      </c>
    </row>
    <row r="21" spans="1:5" x14ac:dyDescent="0.35">
      <c r="A21" t="s">
        <v>23</v>
      </c>
      <c r="B21" t="s">
        <v>40</v>
      </c>
      <c r="C21">
        <f>IF(AND(대시보드!$A$5,대시보드!$A$10),'Raw Data'!A28,NA())</f>
        <v>7.26</v>
      </c>
      <c r="D21">
        <f>IF(AND(대시보드!$A$5,대시보드!$A$10),'Raw Data'!B28,NA())</f>
        <v>9.0001230000000003</v>
      </c>
      <c r="E21">
        <f>'Raw Data'!B28</f>
        <v>9.0001230000000003</v>
      </c>
    </row>
    <row r="22" spans="1:5" x14ac:dyDescent="0.35">
      <c r="A22" t="s">
        <v>23</v>
      </c>
      <c r="B22" t="s">
        <v>40</v>
      </c>
      <c r="C22">
        <f>IF(AND(대시보드!$A$5,대시보드!$A$10),'Raw Data'!A29,NA())</f>
        <v>7.484</v>
      </c>
      <c r="D22">
        <f>IF(AND(대시보드!$A$5,대시보드!$A$10),'Raw Data'!B29,NA())</f>
        <v>9.0000440000000008</v>
      </c>
      <c r="E22">
        <f>'Raw Data'!B29</f>
        <v>9.0000440000000008</v>
      </c>
    </row>
    <row r="23" spans="1:5" x14ac:dyDescent="0.35">
      <c r="A23" t="s">
        <v>23</v>
      </c>
      <c r="B23" t="s">
        <v>40</v>
      </c>
      <c r="C23">
        <f>IF(AND(대시보드!$A$5,대시보드!$A$10),'Raw Data'!A30,NA())</f>
        <v>7.6760000000000002</v>
      </c>
      <c r="D23">
        <f>IF(AND(대시보드!$A$5,대시보드!$A$10),'Raw Data'!B30,NA())</f>
        <v>9.000019</v>
      </c>
      <c r="E23">
        <f>'Raw Data'!B30</f>
        <v>9.000019</v>
      </c>
    </row>
    <row r="24" spans="1:5" x14ac:dyDescent="0.35">
      <c r="A24" t="s">
        <v>23</v>
      </c>
      <c r="B24" t="s">
        <v>40</v>
      </c>
      <c r="C24">
        <f>IF(AND(대시보드!$A$5,대시보드!$A$10),'Raw Data'!A31,NA())</f>
        <v>7.8979999999999997</v>
      </c>
      <c r="D24">
        <f>IF(AND(대시보드!$A$5,대시보드!$A$10),'Raw Data'!B31,NA())</f>
        <v>9.0001069999999999</v>
      </c>
      <c r="E24">
        <f>'Raw Data'!B31</f>
        <v>9.0001069999999999</v>
      </c>
    </row>
    <row r="25" spans="1:5" x14ac:dyDescent="0.35">
      <c r="A25" t="s">
        <v>23</v>
      </c>
      <c r="B25" t="s">
        <v>40</v>
      </c>
      <c r="C25">
        <f>IF(AND(대시보드!$A$5,대시보드!$A$10),'Raw Data'!A32,NA())</f>
        <v>8.1080000000000005</v>
      </c>
      <c r="D25">
        <f>IF(AND(대시보드!$A$5,대시보드!$A$10),'Raw Data'!B32,NA())</f>
        <v>9.000095</v>
      </c>
      <c r="E25">
        <f>'Raw Data'!B32</f>
        <v>9.000095</v>
      </c>
    </row>
    <row r="26" spans="1:5" x14ac:dyDescent="0.35">
      <c r="A26" t="s">
        <v>23</v>
      </c>
      <c r="B26" t="s">
        <v>40</v>
      </c>
      <c r="C26">
        <f>IF(AND(대시보드!$A$5,대시보드!$A$10),'Raw Data'!A33,NA())</f>
        <v>8.3149999999999995</v>
      </c>
      <c r="D26">
        <f>IF(AND(대시보드!$A$5,대시보드!$A$10),'Raw Data'!B33,NA())</f>
        <v>9.0000540000000004</v>
      </c>
      <c r="E26">
        <f>'Raw Data'!B33</f>
        <v>9.0000540000000004</v>
      </c>
    </row>
    <row r="27" spans="1:5" x14ac:dyDescent="0.35">
      <c r="A27" t="s">
        <v>23</v>
      </c>
      <c r="B27" t="s">
        <v>40</v>
      </c>
      <c r="C27">
        <f>IF(AND(대시보드!$A$5,대시보드!$A$10),'Raw Data'!A34,NA())</f>
        <v>8.5389999999999997</v>
      </c>
      <c r="D27">
        <f>IF(AND(대시보드!$A$5,대시보드!$A$10),'Raw Data'!B34,NA())</f>
        <v>9</v>
      </c>
      <c r="E27">
        <f>'Raw Data'!B34</f>
        <v>9</v>
      </c>
    </row>
    <row r="28" spans="1:5" x14ac:dyDescent="0.35">
      <c r="A28" t="s">
        <v>23</v>
      </c>
      <c r="B28" t="s">
        <v>40</v>
      </c>
      <c r="C28">
        <f>IF(AND(대시보드!$A$5,대시보드!$A$10),'Raw Data'!A35,NA())</f>
        <v>8.7309999999999999</v>
      </c>
      <c r="D28">
        <f>IF(AND(대시보드!$A$5,대시보드!$A$10),'Raw Data'!B35,NA())</f>
        <v>9.0000350000000005</v>
      </c>
      <c r="E28">
        <f>'Raw Data'!B35</f>
        <v>9.0000350000000005</v>
      </c>
    </row>
    <row r="29" spans="1:5" x14ac:dyDescent="0.35">
      <c r="A29" t="s">
        <v>23</v>
      </c>
      <c r="B29" t="s">
        <v>40</v>
      </c>
      <c r="C29">
        <f>IF(AND(대시보드!$A$5,대시보드!$A$10),'Raw Data'!A36,NA())</f>
        <v>8.9540000000000006</v>
      </c>
      <c r="D29">
        <f>IF(AND(대시보드!$A$5,대시보드!$A$10),'Raw Data'!B36,NA())</f>
        <v>9.0000029999999995</v>
      </c>
      <c r="E29">
        <f>'Raw Data'!B36</f>
        <v>9.0000029999999995</v>
      </c>
    </row>
    <row r="30" spans="1:5" x14ac:dyDescent="0.35">
      <c r="A30" t="s">
        <v>23</v>
      </c>
      <c r="B30" t="s">
        <v>40</v>
      </c>
      <c r="C30">
        <f>IF(AND(대시보드!$A$5,대시보드!$A$10),'Raw Data'!A37,NA())</f>
        <v>9.1620000000000008</v>
      </c>
      <c r="D30">
        <f>IF(AND(대시보드!$A$5,대시보드!$A$10),'Raw Data'!B37,NA())</f>
        <v>8.9999889999999994</v>
      </c>
      <c r="E30">
        <f>'Raw Data'!B37</f>
        <v>8.9999889999999994</v>
      </c>
    </row>
    <row r="31" spans="1:5" x14ac:dyDescent="0.35">
      <c r="A31" t="s">
        <v>23</v>
      </c>
      <c r="B31" t="s">
        <v>40</v>
      </c>
      <c r="C31">
        <f>IF(AND(대시보드!$A$5,대시보드!$A$10),'Raw Data'!A38,NA())</f>
        <v>9.3689999999999998</v>
      </c>
      <c r="D31">
        <f>IF(AND(대시보드!$A$5,대시보드!$A$10),'Raw Data'!B38,NA())</f>
        <v>9.0000370000000007</v>
      </c>
      <c r="E31">
        <f>'Raw Data'!B38</f>
        <v>9.0000370000000007</v>
      </c>
    </row>
    <row r="32" spans="1:5" x14ac:dyDescent="0.35">
      <c r="A32" t="s">
        <v>23</v>
      </c>
      <c r="B32" t="s">
        <v>40</v>
      </c>
      <c r="C32">
        <f>IF(AND(대시보드!$A$5,대시보드!$A$10),'Raw Data'!A39,NA())</f>
        <v>9.5779999999999994</v>
      </c>
      <c r="D32">
        <f>IF(AND(대시보드!$A$5,대시보드!$A$10),'Raw Data'!B39,NA())</f>
        <v>8.9999649999999995</v>
      </c>
      <c r="E32">
        <f>'Raw Data'!B39</f>
        <v>8.9999649999999995</v>
      </c>
    </row>
    <row r="33" spans="1:5" x14ac:dyDescent="0.35">
      <c r="A33" t="s">
        <v>23</v>
      </c>
      <c r="B33" t="s">
        <v>40</v>
      </c>
      <c r="C33">
        <f>IF(AND(대시보드!$A$5,대시보드!$A$10),'Raw Data'!A40,NA())</f>
        <v>9.7840000000000007</v>
      </c>
      <c r="D33">
        <f>IF(AND(대시보드!$A$5,대시보드!$A$10),'Raw Data'!B40,NA())</f>
        <v>8.9999819999999993</v>
      </c>
      <c r="E33">
        <f>'Raw Data'!B40</f>
        <v>8.9999819999999993</v>
      </c>
    </row>
    <row r="34" spans="1:5" x14ac:dyDescent="0.35">
      <c r="A34" t="s">
        <v>23</v>
      </c>
      <c r="B34" t="s">
        <v>40</v>
      </c>
      <c r="C34">
        <f>IF(AND(대시보드!$A$5,대시보드!$A$10),'Raw Data'!A41,NA())</f>
        <v>9.9920000000000009</v>
      </c>
      <c r="D34">
        <f>IF(AND(대시보드!$A$5,대시보드!$A$10),'Raw Data'!B41,NA())</f>
        <v>9.0000440000000008</v>
      </c>
      <c r="E34">
        <f>'Raw Data'!B41</f>
        <v>9.0000440000000008</v>
      </c>
    </row>
    <row r="35" spans="1:5" x14ac:dyDescent="0.35">
      <c r="A35" t="s">
        <v>23</v>
      </c>
      <c r="B35" t="s">
        <v>40</v>
      </c>
      <c r="C35">
        <f>IF(AND(대시보드!$A$5,대시보드!$A$10),'Raw Data'!A42,NA())</f>
        <v>10.201000000000001</v>
      </c>
      <c r="D35">
        <f>IF(AND(대시보드!$A$5,대시보드!$A$10),'Raw Data'!B42,NA())</f>
        <v>9.0000119999999999</v>
      </c>
      <c r="E35">
        <f>'Raw Data'!B42</f>
        <v>9.0000119999999999</v>
      </c>
    </row>
    <row r="36" spans="1:5" x14ac:dyDescent="0.35">
      <c r="A36" t="s">
        <v>23</v>
      </c>
      <c r="B36" t="s">
        <v>40</v>
      </c>
      <c r="C36">
        <f>IF(AND(대시보드!$A$5,대시보드!$A$10),'Raw Data'!A43,NA())</f>
        <v>10.407999999999999</v>
      </c>
      <c r="D36">
        <f>IF(AND(대시보드!$A$5,대시보드!$A$10),'Raw Data'!B43,NA())</f>
        <v>9.0000440000000008</v>
      </c>
      <c r="E36">
        <f>'Raw Data'!B43</f>
        <v>9.0000440000000008</v>
      </c>
    </row>
    <row r="37" spans="1:5" x14ac:dyDescent="0.35">
      <c r="A37" t="s">
        <v>23</v>
      </c>
      <c r="B37" t="s">
        <v>40</v>
      </c>
      <c r="C37">
        <f>IF(AND(대시보드!$A$5,대시보드!$A$10),'Raw Data'!A44,NA())</f>
        <v>10.616</v>
      </c>
      <c r="D37">
        <f>IF(AND(대시보드!$A$5,대시보드!$A$10),'Raw Data'!B44,NA())</f>
        <v>9</v>
      </c>
      <c r="E37">
        <f>'Raw Data'!B44</f>
        <v>9</v>
      </c>
    </row>
    <row r="38" spans="1:5" x14ac:dyDescent="0.35">
      <c r="A38" t="s">
        <v>23</v>
      </c>
      <c r="B38" t="s">
        <v>40</v>
      </c>
      <c r="C38">
        <f>IF(AND(대시보드!$A$5,대시보드!$A$10),'Raw Data'!A45,NA())</f>
        <v>10.839</v>
      </c>
      <c r="D38">
        <f>IF(AND(대시보드!$A$5,대시보드!$A$10),'Raw Data'!B45,NA())</f>
        <v>9.0000230000000006</v>
      </c>
      <c r="E38">
        <f>'Raw Data'!B45</f>
        <v>9.0000230000000006</v>
      </c>
    </row>
    <row r="39" spans="1:5" x14ac:dyDescent="0.35">
      <c r="A39" t="s">
        <v>23</v>
      </c>
      <c r="B39" t="s">
        <v>40</v>
      </c>
      <c r="C39">
        <f>IF(AND(대시보드!$A$5,대시보드!$A$10),'Raw Data'!A46,NA())</f>
        <v>11.031000000000001</v>
      </c>
      <c r="D39">
        <f>IF(AND(대시보드!$A$5,대시보드!$A$10),'Raw Data'!B46,NA())</f>
        <v>9.0000470000000004</v>
      </c>
      <c r="E39">
        <f>'Raw Data'!B46</f>
        <v>9.0000470000000004</v>
      </c>
    </row>
    <row r="40" spans="1:5" x14ac:dyDescent="0.35">
      <c r="A40" t="s">
        <v>23</v>
      </c>
      <c r="B40" t="s">
        <v>40</v>
      </c>
      <c r="C40">
        <f>IF(AND(대시보드!$A$5,대시보드!$A$10),'Raw Data'!A47,NA())</f>
        <v>11.255000000000001</v>
      </c>
      <c r="D40">
        <f>IF(AND(대시보드!$A$5,대시보드!$A$10),'Raw Data'!B47,NA())</f>
        <v>9.0000280000000004</v>
      </c>
      <c r="E40">
        <f>'Raw Data'!B47</f>
        <v>9.0000280000000004</v>
      </c>
    </row>
    <row r="41" spans="1:5" x14ac:dyDescent="0.35">
      <c r="A41" t="s">
        <v>23</v>
      </c>
      <c r="B41" t="s">
        <v>40</v>
      </c>
      <c r="C41">
        <f>IF(AND(대시보드!$A$5,대시보드!$A$10),'Raw Data'!A48,NA())</f>
        <v>11.462</v>
      </c>
      <c r="D41">
        <f>IF(AND(대시보드!$A$5,대시보드!$A$10),'Raw Data'!B48,NA())</f>
        <v>9.0001099999999994</v>
      </c>
      <c r="E41">
        <f>'Raw Data'!B48</f>
        <v>9.0001099999999994</v>
      </c>
    </row>
    <row r="42" spans="1:5" x14ac:dyDescent="0.35">
      <c r="A42" t="s">
        <v>23</v>
      </c>
      <c r="B42" t="s">
        <v>40</v>
      </c>
      <c r="C42">
        <f>IF(AND(대시보드!$A$5,대시보드!$A$10),'Raw Data'!A49,NA())</f>
        <v>11.670999999999999</v>
      </c>
      <c r="D42">
        <f>IF(AND(대시보드!$A$5,대시보드!$A$10),'Raw Data'!B49,NA())</f>
        <v>8.9999780000000005</v>
      </c>
      <c r="E42">
        <f>'Raw Data'!B49</f>
        <v>8.9999780000000005</v>
      </c>
    </row>
    <row r="43" spans="1:5" x14ac:dyDescent="0.35">
      <c r="A43" t="s">
        <v>23</v>
      </c>
      <c r="B43" t="s">
        <v>40</v>
      </c>
      <c r="C43">
        <f>IF(AND(대시보드!$A$5,대시보드!$A$10),'Raw Data'!A50,NA())</f>
        <v>11.878</v>
      </c>
      <c r="D43">
        <f>IF(AND(대시보드!$A$5,대시보드!$A$10),'Raw Data'!B50,NA())</f>
        <v>9.0000099999999996</v>
      </c>
      <c r="E43">
        <f>'Raw Data'!B50</f>
        <v>9.0000099999999996</v>
      </c>
    </row>
    <row r="44" spans="1:5" x14ac:dyDescent="0.35">
      <c r="A44" t="s">
        <v>23</v>
      </c>
      <c r="B44" t="s">
        <v>40</v>
      </c>
      <c r="C44">
        <f>IF(AND(대시보드!$A$5,대시보드!$A$10),'Raw Data'!A51,NA())</f>
        <v>12.085000000000001</v>
      </c>
      <c r="D44">
        <f>IF(AND(대시보드!$A$5,대시보드!$A$10),'Raw Data'!B51,NA())</f>
        <v>8.9999710000000004</v>
      </c>
      <c r="E44">
        <f>'Raw Data'!B51</f>
        <v>8.9999710000000004</v>
      </c>
    </row>
    <row r="45" spans="1:5" x14ac:dyDescent="0.35">
      <c r="A45" t="s">
        <v>23</v>
      </c>
      <c r="B45" t="s">
        <v>40</v>
      </c>
      <c r="C45">
        <f>IF(AND(대시보드!$A$5,대시보드!$A$10),'Raw Data'!A52,NA())</f>
        <v>12.308</v>
      </c>
      <c r="D45">
        <f>IF(AND(대시보드!$A$5,대시보드!$A$10),'Raw Data'!B52,NA())</f>
        <v>9.0000990000000005</v>
      </c>
      <c r="E45">
        <f>'Raw Data'!B52</f>
        <v>9.0000990000000005</v>
      </c>
    </row>
    <row r="46" spans="1:5" x14ac:dyDescent="0.35">
      <c r="A46" t="s">
        <v>23</v>
      </c>
      <c r="B46" t="s">
        <v>40</v>
      </c>
      <c r="C46">
        <f>IF(AND(대시보드!$A$5,대시보드!$A$10),'Raw Data'!A53,NA())</f>
        <v>12.503</v>
      </c>
      <c r="D46">
        <f>IF(AND(대시보드!$A$5,대시보드!$A$10),'Raw Data'!B53,NA())</f>
        <v>9.0001470000000001</v>
      </c>
      <c r="E46">
        <f>'Raw Data'!B53</f>
        <v>9.0001470000000001</v>
      </c>
    </row>
    <row r="47" spans="1:5" x14ac:dyDescent="0.35">
      <c r="A47" t="s">
        <v>23</v>
      </c>
      <c r="B47" t="s">
        <v>40</v>
      </c>
      <c r="C47">
        <f>IF(AND(대시보드!$A$5,대시보드!$A$10),'Raw Data'!A54,NA())</f>
        <v>12.725</v>
      </c>
      <c r="D47">
        <f>IF(AND(대시보드!$A$5,대시보드!$A$10),'Raw Data'!B54,NA())</f>
        <v>9.0001569999999997</v>
      </c>
      <c r="E47">
        <f>'Raw Data'!B54</f>
        <v>9.0001569999999997</v>
      </c>
    </row>
    <row r="48" spans="1:5" x14ac:dyDescent="0.35">
      <c r="A48" t="s">
        <v>23</v>
      </c>
      <c r="B48" t="s">
        <v>40</v>
      </c>
      <c r="C48">
        <f>IF(AND(대시보드!$A$5,대시보드!$A$10),'Raw Data'!A55,NA())</f>
        <v>12.930999999999999</v>
      </c>
      <c r="D48">
        <f>IF(AND(대시보드!$A$5,대시보드!$A$10),'Raw Data'!B55,NA())</f>
        <v>9.0000300000000006</v>
      </c>
      <c r="E48">
        <f>'Raw Data'!B55</f>
        <v>9.0000300000000006</v>
      </c>
    </row>
    <row r="49" spans="1:5" x14ac:dyDescent="0.35">
      <c r="A49" t="s">
        <v>23</v>
      </c>
      <c r="B49" t="s">
        <v>41</v>
      </c>
      <c r="C49">
        <f>IF(AND(대시보드!$A$5,대시보드!$E$10),'Raw Data'!A9,NA())</f>
        <v>2.8980000000000001</v>
      </c>
      <c r="D49">
        <f>IF(AND(대시보드!$A$5,대시보드!$E$10),'Raw Data'!C9,NA())</f>
        <v>5.114895E-11</v>
      </c>
      <c r="E49">
        <f>'Raw Data'!C9</f>
        <v>5.114895E-11</v>
      </c>
    </row>
    <row r="50" spans="1:5" x14ac:dyDescent="0.35">
      <c r="A50" t="s">
        <v>23</v>
      </c>
      <c r="B50" t="s">
        <v>41</v>
      </c>
      <c r="C50">
        <f>IF(AND(대시보드!$A$5,대시보드!$E$10),'Raw Data'!A10,NA())</f>
        <v>3.4249999999999998</v>
      </c>
      <c r="D50">
        <f>IF(AND(대시보드!$A$5,대시보드!$E$10),'Raw Data'!C10,NA())</f>
        <v>1.437514E-10</v>
      </c>
      <c r="E50">
        <f>'Raw Data'!C10</f>
        <v>1.437514E-10</v>
      </c>
    </row>
    <row r="51" spans="1:5" x14ac:dyDescent="0.35">
      <c r="A51" t="s">
        <v>23</v>
      </c>
      <c r="B51" t="s">
        <v>41</v>
      </c>
      <c r="C51">
        <f>IF(AND(대시보드!$A$5,대시보드!$E$10),'Raw Data'!A11,NA())</f>
        <v>3.6640000000000001</v>
      </c>
      <c r="D51">
        <f>IF(AND(대시보드!$A$5,대시보드!$E$10),'Raw Data'!C11,NA())</f>
        <v>-4.0028900000000001E-10</v>
      </c>
      <c r="E51">
        <f>'Raw Data'!C11</f>
        <v>-4.0028900000000001E-10</v>
      </c>
    </row>
    <row r="52" spans="1:5" x14ac:dyDescent="0.35">
      <c r="A52" t="s">
        <v>23</v>
      </c>
      <c r="B52" t="s">
        <v>41</v>
      </c>
      <c r="C52">
        <f>IF(AND(대시보드!$A$5,대시보드!$E$10),'Raw Data'!A12,NA())</f>
        <v>3.84</v>
      </c>
      <c r="D52">
        <f>IF(AND(대시보드!$A$5,대시보드!$E$10),'Raw Data'!C12,NA())</f>
        <v>-4.8127439999999999E-10</v>
      </c>
      <c r="E52">
        <f>'Raw Data'!C12</f>
        <v>-4.8127439999999999E-10</v>
      </c>
    </row>
    <row r="53" spans="1:5" x14ac:dyDescent="0.35">
      <c r="A53" t="s">
        <v>23</v>
      </c>
      <c r="B53" t="s">
        <v>41</v>
      </c>
      <c r="C53">
        <f>IF(AND(대시보드!$A$5,대시보드!$E$10),'Raw Data'!A13,NA())</f>
        <v>4.0960000000000001</v>
      </c>
      <c r="D53">
        <f>IF(AND(대시보드!$A$5,대시보드!$E$10),'Raw Data'!C13,NA())</f>
        <v>-5.3746100000000003E-10</v>
      </c>
      <c r="E53">
        <f>'Raw Data'!C13</f>
        <v>-5.3746100000000003E-10</v>
      </c>
    </row>
    <row r="54" spans="1:5" x14ac:dyDescent="0.35">
      <c r="A54" t="s">
        <v>23</v>
      </c>
      <c r="B54" t="s">
        <v>41</v>
      </c>
      <c r="C54">
        <f>IF(AND(대시보드!$A$5,대시보드!$E$10),'Raw Data'!A14,NA())</f>
        <v>4.2889999999999997</v>
      </c>
      <c r="D54">
        <f>IF(AND(대시보드!$A$5,대시보드!$E$10),'Raw Data'!C14,NA())</f>
        <v>-2.8386980000000001E-10</v>
      </c>
      <c r="E54">
        <f>'Raw Data'!C14</f>
        <v>-2.8386980000000001E-10</v>
      </c>
    </row>
    <row r="55" spans="1:5" x14ac:dyDescent="0.35">
      <c r="A55" t="s">
        <v>23</v>
      </c>
      <c r="B55" t="s">
        <v>41</v>
      </c>
      <c r="C55">
        <f>IF(AND(대시보드!$A$5,대시보드!$E$10),'Raw Data'!A15,NA())</f>
        <v>4.51</v>
      </c>
      <c r="D55">
        <f>IF(AND(대시보드!$A$5,대시보드!$E$10),'Raw Data'!C15,NA())</f>
        <v>1.385566E-9</v>
      </c>
      <c r="E55">
        <f>'Raw Data'!C15</f>
        <v>1.385566E-9</v>
      </c>
    </row>
    <row r="56" spans="1:5" x14ac:dyDescent="0.35">
      <c r="A56" t="s">
        <v>23</v>
      </c>
      <c r="B56" t="s">
        <v>41</v>
      </c>
      <c r="C56">
        <f>IF(AND(대시보드!$A$5,대시보드!$E$10),'Raw Data'!A16,NA())</f>
        <v>4.7190000000000003</v>
      </c>
      <c r="D56">
        <f>IF(AND(대시보드!$A$5,대시보드!$E$10),'Raw Data'!C16,NA())</f>
        <v>1.5090409999999999E-9</v>
      </c>
      <c r="E56">
        <f>'Raw Data'!C16</f>
        <v>1.5090409999999999E-9</v>
      </c>
    </row>
    <row r="57" spans="1:5" x14ac:dyDescent="0.35">
      <c r="A57" t="s">
        <v>23</v>
      </c>
      <c r="B57" t="s">
        <v>41</v>
      </c>
      <c r="C57">
        <f>IF(AND(대시보드!$A$5,대시보드!$E$10),'Raw Data'!A17,NA())</f>
        <v>4.9260000000000002</v>
      </c>
      <c r="D57">
        <f>IF(AND(대시보드!$A$5,대시보드!$E$10),'Raw Data'!C17,NA())</f>
        <v>4.5445929999999998E-10</v>
      </c>
      <c r="E57">
        <f>'Raw Data'!C17</f>
        <v>4.5445929999999998E-10</v>
      </c>
    </row>
    <row r="58" spans="1:5" x14ac:dyDescent="0.35">
      <c r="A58" t="s">
        <v>23</v>
      </c>
      <c r="B58" t="s">
        <v>41</v>
      </c>
      <c r="C58">
        <f>IF(AND(대시보드!$A$5,대시보드!$E$10),'Raw Data'!A18,NA())</f>
        <v>5.1509999999999998</v>
      </c>
      <c r="D58">
        <f>IF(AND(대시보드!$A$5,대시보드!$E$10),'Raw Data'!C18,NA())</f>
        <v>1.398215E-9</v>
      </c>
      <c r="E58">
        <f>'Raw Data'!C18</f>
        <v>1.398215E-9</v>
      </c>
    </row>
    <row r="59" spans="1:5" x14ac:dyDescent="0.35">
      <c r="A59" t="s">
        <v>23</v>
      </c>
      <c r="B59" t="s">
        <v>41</v>
      </c>
      <c r="C59">
        <f>IF(AND(대시보드!$A$5,대시보드!$E$10),'Raw Data'!A19,NA())</f>
        <v>5.359</v>
      </c>
      <c r="D59">
        <f>IF(AND(대시보드!$A$5,대시보드!$E$10),'Raw Data'!C19,NA())</f>
        <v>-6.6349489999999996E-10</v>
      </c>
      <c r="E59">
        <f>'Raw Data'!C19</f>
        <v>-6.6349489999999996E-10</v>
      </c>
    </row>
    <row r="60" spans="1:5" x14ac:dyDescent="0.35">
      <c r="A60" t="s">
        <v>23</v>
      </c>
      <c r="B60" t="s">
        <v>41</v>
      </c>
      <c r="C60">
        <f>IF(AND(대시보드!$A$5,대시보드!$E$10),'Raw Data'!A20,NA())</f>
        <v>5.5670000000000002</v>
      </c>
      <c r="D60">
        <f>IF(AND(대시보드!$A$5,대시보드!$E$10),'Raw Data'!C20,NA())</f>
        <v>-3.0462220000000001E-10</v>
      </c>
      <c r="E60">
        <f>'Raw Data'!C20</f>
        <v>-3.0462220000000001E-10</v>
      </c>
    </row>
    <row r="61" spans="1:5" x14ac:dyDescent="0.35">
      <c r="A61" t="s">
        <v>23</v>
      </c>
      <c r="B61" t="s">
        <v>41</v>
      </c>
      <c r="C61">
        <f>IF(AND(대시보드!$A$5,대시보드!$E$10),'Raw Data'!A21,NA())</f>
        <v>5.79</v>
      </c>
      <c r="D61">
        <f>IF(AND(대시보드!$A$5,대시보드!$E$10),'Raw Data'!C21,NA())</f>
        <v>-5.465716E-10</v>
      </c>
      <c r="E61">
        <f>'Raw Data'!C21</f>
        <v>-5.465716E-10</v>
      </c>
    </row>
    <row r="62" spans="1:5" x14ac:dyDescent="0.35">
      <c r="A62" t="s">
        <v>23</v>
      </c>
      <c r="B62" t="s">
        <v>41</v>
      </c>
      <c r="C62">
        <f>IF(AND(대시보드!$A$5,대시보드!$E$10),'Raw Data'!A22,NA())</f>
        <v>5.9980000000000002</v>
      </c>
      <c r="D62">
        <f>IF(AND(대시보드!$A$5,대시보드!$E$10),'Raw Data'!C22,NA())</f>
        <v>3.9778300000000002E-10</v>
      </c>
      <c r="E62">
        <f>'Raw Data'!C22</f>
        <v>3.9778300000000002E-10</v>
      </c>
    </row>
    <row r="63" spans="1:5" x14ac:dyDescent="0.35">
      <c r="A63" t="s">
        <v>23</v>
      </c>
      <c r="B63" t="s">
        <v>41</v>
      </c>
      <c r="C63">
        <f>IF(AND(대시보드!$A$5,대시보드!$E$10),'Raw Data'!A23,NA())</f>
        <v>6.2060000000000004</v>
      </c>
      <c r="D63">
        <f>IF(AND(대시보드!$A$5,대시보드!$E$10),'Raw Data'!C23,NA())</f>
        <v>1.943551E-10</v>
      </c>
      <c r="E63">
        <f>'Raw Data'!C23</f>
        <v>1.943551E-10</v>
      </c>
    </row>
    <row r="64" spans="1:5" x14ac:dyDescent="0.35">
      <c r="A64" t="s">
        <v>23</v>
      </c>
      <c r="B64" t="s">
        <v>41</v>
      </c>
      <c r="C64">
        <f>IF(AND(대시보드!$A$5,대시보드!$E$10),'Raw Data'!A24,NA())</f>
        <v>6.431</v>
      </c>
      <c r="D64">
        <f>IF(AND(대시보드!$A$5,대시보드!$E$10),'Raw Data'!C24,NA())</f>
        <v>-3.4916559999999999E-10</v>
      </c>
      <c r="E64">
        <f>'Raw Data'!C24</f>
        <v>-3.4916559999999999E-10</v>
      </c>
    </row>
    <row r="65" spans="1:5" x14ac:dyDescent="0.35">
      <c r="A65" t="s">
        <v>23</v>
      </c>
      <c r="B65" t="s">
        <v>41</v>
      </c>
      <c r="C65">
        <f>IF(AND(대시보드!$A$5,대시보드!$E$10),'Raw Data'!A25,NA())</f>
        <v>6.62</v>
      </c>
      <c r="D65">
        <f>IF(AND(대시보드!$A$5,대시보드!$E$10),'Raw Data'!C25,NA())</f>
        <v>-5.3847249999999997E-10</v>
      </c>
      <c r="E65">
        <f>'Raw Data'!C25</f>
        <v>-5.3847249999999997E-10</v>
      </c>
    </row>
    <row r="66" spans="1:5" x14ac:dyDescent="0.35">
      <c r="A66" t="s">
        <v>23</v>
      </c>
      <c r="B66" t="s">
        <v>41</v>
      </c>
      <c r="C66">
        <f>IF(AND(대시보드!$A$5,대시보드!$E$10),'Raw Data'!A26,NA())</f>
        <v>6.8449999999999998</v>
      </c>
      <c r="D66">
        <f>IF(AND(대시보드!$A$5,대시보드!$E$10),'Raw Data'!C26,NA())</f>
        <v>1.179612E-9</v>
      </c>
      <c r="E66">
        <f>'Raw Data'!C26</f>
        <v>1.179612E-9</v>
      </c>
    </row>
    <row r="67" spans="1:5" x14ac:dyDescent="0.35">
      <c r="A67" t="s">
        <v>23</v>
      </c>
      <c r="B67" t="s">
        <v>41</v>
      </c>
      <c r="C67">
        <f>IF(AND(대시보드!$A$5,대시보드!$E$10),'Raw Data'!A27,NA())</f>
        <v>7.0519999999999996</v>
      </c>
      <c r="D67">
        <f>IF(AND(대시보드!$A$5,대시보드!$E$10),'Raw Data'!C27,NA())</f>
        <v>9.5173839999999999E-11</v>
      </c>
      <c r="E67">
        <f>'Raw Data'!C27</f>
        <v>9.5173839999999999E-11</v>
      </c>
    </row>
    <row r="68" spans="1:5" x14ac:dyDescent="0.35">
      <c r="A68" t="s">
        <v>23</v>
      </c>
      <c r="B68" t="s">
        <v>41</v>
      </c>
      <c r="C68">
        <f>IF(AND(대시보드!$A$5,대시보드!$E$10),'Raw Data'!A28,NA())</f>
        <v>7.26</v>
      </c>
      <c r="D68">
        <f>IF(AND(대시보드!$A$5,대시보드!$E$10),'Raw Data'!C28,NA())</f>
        <v>1.2190870000000001E-9</v>
      </c>
      <c r="E68">
        <f>'Raw Data'!C28</f>
        <v>1.2190870000000001E-9</v>
      </c>
    </row>
    <row r="69" spans="1:5" x14ac:dyDescent="0.35">
      <c r="A69" t="s">
        <v>23</v>
      </c>
      <c r="B69" t="s">
        <v>41</v>
      </c>
      <c r="C69">
        <f>IF(AND(대시보드!$A$5,대시보드!$E$10),'Raw Data'!A29,NA())</f>
        <v>7.484</v>
      </c>
      <c r="D69">
        <f>IF(AND(대시보드!$A$5,대시보드!$E$10),'Raw Data'!C29,NA())</f>
        <v>9.1090550000000002E-10</v>
      </c>
      <c r="E69">
        <f>'Raw Data'!C29</f>
        <v>9.1090550000000002E-10</v>
      </c>
    </row>
    <row r="70" spans="1:5" x14ac:dyDescent="0.35">
      <c r="A70" t="s">
        <v>23</v>
      </c>
      <c r="B70" t="s">
        <v>41</v>
      </c>
      <c r="C70">
        <f>IF(AND(대시보드!$A$5,대시보드!$E$10),'Raw Data'!A30,NA())</f>
        <v>7.6760000000000002</v>
      </c>
      <c r="D70">
        <f>IF(AND(대시보드!$A$5,대시보드!$E$10),'Raw Data'!C30,NA())</f>
        <v>1.034883E-9</v>
      </c>
      <c r="E70">
        <f>'Raw Data'!C30</f>
        <v>1.034883E-9</v>
      </c>
    </row>
    <row r="71" spans="1:5" x14ac:dyDescent="0.35">
      <c r="A71" t="s">
        <v>23</v>
      </c>
      <c r="B71" t="s">
        <v>41</v>
      </c>
      <c r="C71">
        <f>IF(AND(대시보드!$A$5,대시보드!$E$10),'Raw Data'!A31,NA())</f>
        <v>7.8979999999999997</v>
      </c>
      <c r="D71">
        <f>IF(AND(대시보드!$A$5,대시보드!$E$10),'Raw Data'!C31,NA())</f>
        <v>1.066258E-9</v>
      </c>
      <c r="E71">
        <f>'Raw Data'!C31</f>
        <v>1.066258E-9</v>
      </c>
    </row>
    <row r="72" spans="1:5" x14ac:dyDescent="0.35">
      <c r="A72" t="s">
        <v>23</v>
      </c>
      <c r="B72" t="s">
        <v>41</v>
      </c>
      <c r="C72">
        <f>IF(AND(대시보드!$A$5,대시보드!$E$10),'Raw Data'!A32,NA())</f>
        <v>8.1080000000000005</v>
      </c>
      <c r="D72">
        <f>IF(AND(대시보드!$A$5,대시보드!$E$10),'Raw Data'!C32,NA())</f>
        <v>5.8754919999999995E-10</v>
      </c>
      <c r="E72">
        <f>'Raw Data'!C32</f>
        <v>5.8754919999999995E-10</v>
      </c>
    </row>
    <row r="73" spans="1:5" x14ac:dyDescent="0.35">
      <c r="A73" t="s">
        <v>23</v>
      </c>
      <c r="B73" t="s">
        <v>41</v>
      </c>
      <c r="C73">
        <f>IF(AND(대시보드!$A$5,대시보드!$E$10),'Raw Data'!A33,NA())</f>
        <v>8.3149999999999995</v>
      </c>
      <c r="D73">
        <f>IF(AND(대시보드!$A$5,대시보드!$E$10),'Raw Data'!C33,NA())</f>
        <v>-4.2357260000000002E-10</v>
      </c>
      <c r="E73">
        <f>'Raw Data'!C33</f>
        <v>-4.2357260000000002E-10</v>
      </c>
    </row>
    <row r="74" spans="1:5" x14ac:dyDescent="0.35">
      <c r="A74" t="s">
        <v>23</v>
      </c>
      <c r="B74" t="s">
        <v>41</v>
      </c>
      <c r="C74">
        <f>IF(AND(대시보드!$A$5,대시보드!$E$10),'Raw Data'!A34,NA())</f>
        <v>8.5389999999999997</v>
      </c>
      <c r="D74">
        <f>IF(AND(대시보드!$A$5,대시보드!$E$10),'Raw Data'!C34,NA())</f>
        <v>-5.5922659999999999E-10</v>
      </c>
      <c r="E74">
        <f>'Raw Data'!C34</f>
        <v>-5.5922659999999999E-10</v>
      </c>
    </row>
    <row r="75" spans="1:5" x14ac:dyDescent="0.35">
      <c r="A75" t="s">
        <v>23</v>
      </c>
      <c r="B75" t="s">
        <v>41</v>
      </c>
      <c r="C75">
        <f>IF(AND(대시보드!$A$5,대시보드!$E$10),'Raw Data'!A35,NA())</f>
        <v>8.7309999999999999</v>
      </c>
      <c r="D75">
        <f>IF(AND(대시보드!$A$5,대시보드!$E$10),'Raw Data'!C35,NA())</f>
        <v>1.2757540000000001E-9</v>
      </c>
      <c r="E75">
        <f>'Raw Data'!C35</f>
        <v>1.2757540000000001E-9</v>
      </c>
    </row>
    <row r="76" spans="1:5" x14ac:dyDescent="0.35">
      <c r="A76" t="s">
        <v>23</v>
      </c>
      <c r="B76" t="s">
        <v>41</v>
      </c>
      <c r="C76">
        <f>IF(AND(대시보드!$A$5,대시보드!$E$10),'Raw Data'!A36,NA())</f>
        <v>8.9540000000000006</v>
      </c>
      <c r="D76">
        <f>IF(AND(대시보드!$A$5,대시보드!$E$10),'Raw Data'!C36,NA())</f>
        <v>-3.2349180000000002E-11</v>
      </c>
      <c r="E76">
        <f>'Raw Data'!C36</f>
        <v>-3.2349180000000002E-11</v>
      </c>
    </row>
    <row r="77" spans="1:5" x14ac:dyDescent="0.35">
      <c r="A77" t="s">
        <v>23</v>
      </c>
      <c r="B77" t="s">
        <v>41</v>
      </c>
      <c r="C77">
        <f>IF(AND(대시보드!$A$5,대시보드!$E$10),'Raw Data'!A37,NA())</f>
        <v>9.1620000000000008</v>
      </c>
      <c r="D77">
        <f>IF(AND(대시보드!$A$5,대시보드!$E$10),'Raw Data'!C37,NA())</f>
        <v>-4.7165840000000001E-10</v>
      </c>
      <c r="E77">
        <f>'Raw Data'!C37</f>
        <v>-4.7165840000000001E-10</v>
      </c>
    </row>
    <row r="78" spans="1:5" x14ac:dyDescent="0.35">
      <c r="A78" t="s">
        <v>23</v>
      </c>
      <c r="B78" t="s">
        <v>41</v>
      </c>
      <c r="C78">
        <f>IF(AND(대시보드!$A$5,대시보드!$E$10),'Raw Data'!A38,NA())</f>
        <v>9.3689999999999998</v>
      </c>
      <c r="D78">
        <f>IF(AND(대시보드!$A$5,대시보드!$E$10),'Raw Data'!C38,NA())</f>
        <v>-5.3442370000000004E-10</v>
      </c>
      <c r="E78">
        <f>'Raw Data'!C38</f>
        <v>-5.3442370000000004E-10</v>
      </c>
    </row>
    <row r="79" spans="1:5" x14ac:dyDescent="0.35">
      <c r="A79" t="s">
        <v>23</v>
      </c>
      <c r="B79" t="s">
        <v>41</v>
      </c>
      <c r="C79">
        <f>IF(AND(대시보드!$A$5,대시보드!$E$10),'Raw Data'!A39,NA())</f>
        <v>9.5779999999999994</v>
      </c>
      <c r="D79">
        <f>IF(AND(대시보드!$A$5,대시보드!$E$10),'Raw Data'!C39,NA())</f>
        <v>7.929953E-10</v>
      </c>
      <c r="E79">
        <f>'Raw Data'!C39</f>
        <v>7.929953E-10</v>
      </c>
    </row>
    <row r="80" spans="1:5" x14ac:dyDescent="0.35">
      <c r="A80" t="s">
        <v>23</v>
      </c>
      <c r="B80" t="s">
        <v>41</v>
      </c>
      <c r="C80">
        <f>IF(AND(대시보드!$A$5,대시보드!$E$10),'Raw Data'!A40,NA())</f>
        <v>9.7840000000000007</v>
      </c>
      <c r="D80">
        <f>IF(AND(대시보드!$A$5,대시보드!$E$10),'Raw Data'!C40,NA())</f>
        <v>8.4106969999999998E-10</v>
      </c>
      <c r="E80">
        <f>'Raw Data'!C40</f>
        <v>8.4106969999999998E-10</v>
      </c>
    </row>
    <row r="81" spans="1:5" x14ac:dyDescent="0.35">
      <c r="A81" t="s">
        <v>23</v>
      </c>
      <c r="B81" t="s">
        <v>41</v>
      </c>
      <c r="C81">
        <f>IF(AND(대시보드!$A$5,대시보드!$E$10),'Raw Data'!A41,NA())</f>
        <v>9.9920000000000009</v>
      </c>
      <c r="D81">
        <f>IF(AND(대시보드!$A$5,대시보드!$E$10),'Raw Data'!C41,NA())</f>
        <v>1.129008E-9</v>
      </c>
      <c r="E81">
        <f>'Raw Data'!C41</f>
        <v>1.129008E-9</v>
      </c>
    </row>
    <row r="82" spans="1:5" x14ac:dyDescent="0.35">
      <c r="A82" t="s">
        <v>23</v>
      </c>
      <c r="B82" t="s">
        <v>41</v>
      </c>
      <c r="C82">
        <f>IF(AND(대시보드!$A$5,대시보드!$E$10),'Raw Data'!A42,NA())</f>
        <v>10.201000000000001</v>
      </c>
      <c r="D82">
        <f>IF(AND(대시보드!$A$5,대시보드!$E$10),'Raw Data'!C42,NA())</f>
        <v>9.4480710000000008E-10</v>
      </c>
      <c r="E82">
        <f>'Raw Data'!C42</f>
        <v>9.4480710000000008E-10</v>
      </c>
    </row>
    <row r="83" spans="1:5" x14ac:dyDescent="0.35">
      <c r="A83" t="s">
        <v>23</v>
      </c>
      <c r="B83" t="s">
        <v>41</v>
      </c>
      <c r="C83">
        <f>IF(AND(대시보드!$A$5,대시보드!$E$10),'Raw Data'!A43,NA())</f>
        <v>10.407999999999999</v>
      </c>
      <c r="D83">
        <f>IF(AND(대시보드!$A$5,대시보드!$E$10),'Raw Data'!C43,NA())</f>
        <v>7.4930870000000005E-11</v>
      </c>
      <c r="E83">
        <f>'Raw Data'!C43</f>
        <v>7.4930870000000005E-11</v>
      </c>
    </row>
    <row r="84" spans="1:5" x14ac:dyDescent="0.35">
      <c r="A84" t="s">
        <v>23</v>
      </c>
      <c r="B84" t="s">
        <v>41</v>
      </c>
      <c r="C84">
        <f>IF(AND(대시보드!$A$5,대시보드!$E$10),'Raw Data'!A44,NA())</f>
        <v>10.616</v>
      </c>
      <c r="D84">
        <f>IF(AND(대시보드!$A$5,대시보드!$E$10),'Raw Data'!C44,NA())</f>
        <v>7.8844509999999999E-10</v>
      </c>
      <c r="E84">
        <f>'Raw Data'!C44</f>
        <v>7.8844509999999999E-10</v>
      </c>
    </row>
    <row r="85" spans="1:5" x14ac:dyDescent="0.35">
      <c r="A85" t="s">
        <v>23</v>
      </c>
      <c r="B85" t="s">
        <v>41</v>
      </c>
      <c r="C85">
        <f>IF(AND(대시보드!$A$5,대시보드!$E$10),'Raw Data'!A45,NA())</f>
        <v>10.839</v>
      </c>
      <c r="D85">
        <f>IF(AND(대시보드!$A$5,대시보드!$E$10),'Raw Data'!C45,NA())</f>
        <v>9.6050090000000002E-10</v>
      </c>
      <c r="E85">
        <f>'Raw Data'!C45</f>
        <v>9.6050090000000002E-10</v>
      </c>
    </row>
    <row r="86" spans="1:5" x14ac:dyDescent="0.35">
      <c r="A86" t="s">
        <v>23</v>
      </c>
      <c r="B86" t="s">
        <v>41</v>
      </c>
      <c r="C86">
        <f>IF(AND(대시보드!$A$5,대시보드!$E$10),'Raw Data'!A46,NA())</f>
        <v>11.031000000000001</v>
      </c>
      <c r="D86">
        <f>IF(AND(대시보드!$A$5,대시보드!$E$10),'Raw Data'!C46,NA())</f>
        <v>1.38405E-9</v>
      </c>
      <c r="E86">
        <f>'Raw Data'!C46</f>
        <v>1.38405E-9</v>
      </c>
    </row>
    <row r="87" spans="1:5" x14ac:dyDescent="0.35">
      <c r="A87" t="s">
        <v>23</v>
      </c>
      <c r="B87" t="s">
        <v>41</v>
      </c>
      <c r="C87">
        <f>IF(AND(대시보드!$A$5,대시보드!$E$10),'Raw Data'!A47,NA())</f>
        <v>11.255000000000001</v>
      </c>
      <c r="D87">
        <f>IF(AND(대시보드!$A$5,대시보드!$E$10),'Raw Data'!C47,NA())</f>
        <v>-6.538809E-10</v>
      </c>
      <c r="E87">
        <f>'Raw Data'!C47</f>
        <v>-6.538809E-10</v>
      </c>
    </row>
    <row r="88" spans="1:5" x14ac:dyDescent="0.35">
      <c r="A88" t="s">
        <v>23</v>
      </c>
      <c r="B88" t="s">
        <v>41</v>
      </c>
      <c r="C88">
        <f>IF(AND(대시보드!$A$5,대시보드!$E$10),'Raw Data'!A48,NA())</f>
        <v>11.462</v>
      </c>
      <c r="D88">
        <f>IF(AND(대시보드!$A$5,대시보드!$E$10),'Raw Data'!C48,NA())</f>
        <v>1.0849799999999999E-9</v>
      </c>
      <c r="E88">
        <f>'Raw Data'!C48</f>
        <v>1.0849799999999999E-9</v>
      </c>
    </row>
    <row r="89" spans="1:5" x14ac:dyDescent="0.35">
      <c r="A89" t="s">
        <v>23</v>
      </c>
      <c r="B89" t="s">
        <v>41</v>
      </c>
      <c r="C89">
        <f>IF(AND(대시보드!$A$5,대시보드!$E$10),'Raw Data'!A49,NA())</f>
        <v>11.670999999999999</v>
      </c>
      <c r="D89">
        <f>IF(AND(대시보드!$A$5,대시보드!$E$10),'Raw Data'!C49,NA())</f>
        <v>1.290937E-9</v>
      </c>
      <c r="E89">
        <f>'Raw Data'!C49</f>
        <v>1.290937E-9</v>
      </c>
    </row>
    <row r="90" spans="1:5" x14ac:dyDescent="0.35">
      <c r="A90" t="s">
        <v>23</v>
      </c>
      <c r="B90" t="s">
        <v>41</v>
      </c>
      <c r="C90">
        <f>IF(AND(대시보드!$A$5,대시보드!$E$10),'Raw Data'!A50,NA())</f>
        <v>11.878</v>
      </c>
      <c r="D90">
        <f>IF(AND(대시보드!$A$5,대시보드!$E$10),'Raw Data'!C50,NA())</f>
        <v>-5.6074510000000004E-10</v>
      </c>
      <c r="E90">
        <f>'Raw Data'!C50</f>
        <v>-5.6074510000000004E-10</v>
      </c>
    </row>
    <row r="91" spans="1:5" x14ac:dyDescent="0.35">
      <c r="A91" t="s">
        <v>23</v>
      </c>
      <c r="B91" t="s">
        <v>41</v>
      </c>
      <c r="C91">
        <f>IF(AND(대시보드!$A$5,대시보드!$E$10),'Raw Data'!A51,NA())</f>
        <v>12.085000000000001</v>
      </c>
      <c r="D91">
        <f>IF(AND(대시보드!$A$5,대시보드!$E$10),'Raw Data'!C51,NA())</f>
        <v>-5.5163300000000001E-10</v>
      </c>
      <c r="E91">
        <f>'Raw Data'!C51</f>
        <v>-5.5163300000000001E-10</v>
      </c>
    </row>
    <row r="92" spans="1:5" x14ac:dyDescent="0.35">
      <c r="A92" t="s">
        <v>23</v>
      </c>
      <c r="B92" t="s">
        <v>41</v>
      </c>
      <c r="C92">
        <f>IF(AND(대시보드!$A$5,대시보드!$E$10),'Raw Data'!A52,NA())</f>
        <v>12.308</v>
      </c>
      <c r="D92">
        <f>IF(AND(대시보드!$A$5,대시보드!$E$10),'Raw Data'!C52,NA())</f>
        <v>-5.6132709999999998E-11</v>
      </c>
      <c r="E92">
        <f>'Raw Data'!C52</f>
        <v>-5.6132709999999998E-11</v>
      </c>
    </row>
    <row r="93" spans="1:5" x14ac:dyDescent="0.35">
      <c r="A93" t="s">
        <v>23</v>
      </c>
      <c r="B93" t="s">
        <v>41</v>
      </c>
      <c r="C93">
        <f>IF(AND(대시보드!$A$5,대시보드!$E$10),'Raw Data'!A53,NA())</f>
        <v>12.503</v>
      </c>
      <c r="D93">
        <f>IF(AND(대시보드!$A$5,대시보드!$E$10),'Raw Data'!C53,NA())</f>
        <v>3.942422E-10</v>
      </c>
      <c r="E93">
        <f>'Raw Data'!C53</f>
        <v>3.942422E-10</v>
      </c>
    </row>
    <row r="94" spans="1:5" x14ac:dyDescent="0.35">
      <c r="A94" t="s">
        <v>23</v>
      </c>
      <c r="B94" t="s">
        <v>41</v>
      </c>
      <c r="C94">
        <f>IF(AND(대시보드!$A$5,대시보드!$E$10),'Raw Data'!A54,NA())</f>
        <v>12.725</v>
      </c>
      <c r="D94">
        <f>IF(AND(대시보드!$A$5,대시보드!$E$10),'Raw Data'!C54,NA())</f>
        <v>-4.2812799999999998E-10</v>
      </c>
      <c r="E94">
        <f>'Raw Data'!C54</f>
        <v>-4.2812799999999998E-10</v>
      </c>
    </row>
    <row r="95" spans="1:5" x14ac:dyDescent="0.35">
      <c r="A95" t="s">
        <v>23</v>
      </c>
      <c r="B95" t="s">
        <v>41</v>
      </c>
      <c r="C95">
        <f>IF(AND(대시보드!$A$5,대시보드!$E$10),'Raw Data'!A55,NA())</f>
        <v>12.930999999999999</v>
      </c>
      <c r="D95">
        <f>IF(AND(대시보드!$A$5,대시보드!$E$10),'Raw Data'!C55,NA())</f>
        <v>-7.2727409999999998E-10</v>
      </c>
      <c r="E95">
        <f>'Raw Data'!C55</f>
        <v>-7.2727409999999998E-10</v>
      </c>
    </row>
    <row r="96" spans="1:5" x14ac:dyDescent="0.35">
      <c r="A96" t="s">
        <v>23</v>
      </c>
      <c r="B96" t="s">
        <v>42</v>
      </c>
      <c r="C96">
        <f>IF(AND(대시보드!$A$5,대시보드!$J$10),'Raw Data'!A9,NA())</f>
        <v>2.8980000000000001</v>
      </c>
      <c r="D96">
        <f>IF(AND(대시보드!$A$5,대시보드!$J$10),('Raw Data'!D9)*(0.00000000171393408/506450380903.8),NA())</f>
        <v>5.954801561698145E-10</v>
      </c>
      <c r="E96">
        <f>'Raw Data'!D9</f>
        <v>175958431209.2428</v>
      </c>
    </row>
    <row r="97" spans="1:5" x14ac:dyDescent="0.35">
      <c r="A97" t="s">
        <v>23</v>
      </c>
      <c r="B97" t="s">
        <v>42</v>
      </c>
      <c r="C97">
        <f>IF(AND(대시보드!$A$5,대시보드!$J$10),'Raw Data'!A10,NA())</f>
        <v>3.4249999999999998</v>
      </c>
      <c r="D97">
        <f>IF(AND(대시보드!$A$5,대시보드!$J$10),('Raw Data'!D10)*(0.00000000171393408/506450380903.8),NA())</f>
        <v>2.1187834752699256E-10</v>
      </c>
      <c r="E97">
        <f>'Raw Data'!D10</f>
        <v>62607932861.871262</v>
      </c>
    </row>
    <row r="98" spans="1:5" x14ac:dyDescent="0.35">
      <c r="A98" t="s">
        <v>23</v>
      </c>
      <c r="B98" t="s">
        <v>42</v>
      </c>
      <c r="C98">
        <f>IF(AND(대시보드!$A$5,대시보드!$J$10),'Raw Data'!A11,NA())</f>
        <v>3.6640000000000001</v>
      </c>
      <c r="D98">
        <f>IF(AND(대시보드!$A$5,대시보드!$J$10),('Raw Data'!D11)*(0.00000000171393408/506450380903.8),NA())</f>
        <v>-7.6090080646424175E-11</v>
      </c>
      <c r="E98">
        <f>'Raw Data'!D11</f>
        <v>-22483857912.6581</v>
      </c>
    </row>
    <row r="99" spans="1:5" x14ac:dyDescent="0.35">
      <c r="A99" t="s">
        <v>23</v>
      </c>
      <c r="B99" t="s">
        <v>42</v>
      </c>
      <c r="C99">
        <f>IF(AND(대시보드!$A$5,대시보드!$J$10),'Raw Data'!A12,NA())</f>
        <v>3.84</v>
      </c>
      <c r="D99">
        <f>IF(AND(대시보드!$A$5,대시보드!$J$10),('Raw Data'!D12)*(0.00000000171393408/506450380903.8),NA())</f>
        <v>-6.3285302275597759E-11</v>
      </c>
      <c r="E99">
        <f>'Raw Data'!D12</f>
        <v>-18700173954.816631</v>
      </c>
    </row>
    <row r="100" spans="1:5" x14ac:dyDescent="0.35">
      <c r="A100" t="s">
        <v>23</v>
      </c>
      <c r="B100" t="s">
        <v>42</v>
      </c>
      <c r="C100">
        <f>IF(AND(대시보드!$A$5,대시보드!$J$10),'Raw Data'!A13,NA())</f>
        <v>4.0960000000000001</v>
      </c>
      <c r="D100">
        <f>IF(AND(대시보드!$A$5,대시보드!$J$10),('Raw Data'!D13)*(0.00000000171393408/506450380903.8),NA())</f>
        <v>-5.6671043621621472E-11</v>
      </c>
      <c r="E100">
        <f>'Raw Data'!D13</f>
        <v>-16745726666.67907</v>
      </c>
    </row>
    <row r="101" spans="1:5" x14ac:dyDescent="0.35">
      <c r="A101" t="s">
        <v>23</v>
      </c>
      <c r="B101" t="s">
        <v>42</v>
      </c>
      <c r="C101">
        <f>IF(AND(대시보드!$A$5,대시보드!$J$10),'Raw Data'!A14,NA())</f>
        <v>4.2889999999999997</v>
      </c>
      <c r="D101">
        <f>IF(AND(대시보드!$A$5,대시보드!$J$10),('Raw Data'!D14)*(0.00000000171393408/506450380903.8),NA())</f>
        <v>-1.0729711817158408E-10</v>
      </c>
      <c r="E101">
        <f>'Raw Data'!D14</f>
        <v>-31705225423.768219</v>
      </c>
    </row>
    <row r="102" spans="1:5" x14ac:dyDescent="0.35">
      <c r="A102" t="s">
        <v>23</v>
      </c>
      <c r="B102" t="s">
        <v>42</v>
      </c>
      <c r="C102">
        <f>IF(AND(대시보드!$A$5,대시보드!$J$10),'Raw Data'!A15,NA())</f>
        <v>4.51</v>
      </c>
      <c r="D102">
        <f>IF(AND(대시보드!$A$5,대시보드!$J$10),('Raw Data'!D15)*(0.00000000171393408/506450380903.8),NA())</f>
        <v>2.1982265843046557E-11</v>
      </c>
      <c r="E102">
        <f>'Raw Data'!D15</f>
        <v>6495539728.8905764</v>
      </c>
    </row>
    <row r="103" spans="1:5" x14ac:dyDescent="0.35">
      <c r="A103" t="s">
        <v>23</v>
      </c>
      <c r="B103" t="s">
        <v>42</v>
      </c>
      <c r="C103">
        <f>IF(AND(대시보드!$A$5,대시보드!$J$10),'Raw Data'!A16,NA())</f>
        <v>4.7190000000000003</v>
      </c>
      <c r="D103">
        <f>IF(AND(대시보드!$A$5,대시보드!$J$10),('Raw Data'!D16)*(0.00000000171393408/506450380903.8),NA())</f>
        <v>2.0183752649078341E-11</v>
      </c>
      <c r="E103">
        <f>'Raw Data'!D16</f>
        <v>5964097065.6198206</v>
      </c>
    </row>
    <row r="104" spans="1:5" x14ac:dyDescent="0.35">
      <c r="A104" t="s">
        <v>23</v>
      </c>
      <c r="B104" t="s">
        <v>42</v>
      </c>
      <c r="C104">
        <f>IF(AND(대시보드!$A$5,대시보드!$J$10),'Raw Data'!A17,NA())</f>
        <v>4.9260000000000002</v>
      </c>
      <c r="D104">
        <f>IF(AND(대시보드!$A$5,대시보드!$J$10),('Raw Data'!D17)*(0.00000000171393408/506450380903.8),NA())</f>
        <v>6.7019920172693415E-11</v>
      </c>
      <c r="E104">
        <f>'Raw Data'!D17</f>
        <v>19803716196.367859</v>
      </c>
    </row>
    <row r="105" spans="1:5" x14ac:dyDescent="0.35">
      <c r="A105" t="s">
        <v>23</v>
      </c>
      <c r="B105" t="s">
        <v>42</v>
      </c>
      <c r="C105">
        <f>IF(AND(대시보드!$A$5,대시보드!$J$10),'Raw Data'!A18,NA())</f>
        <v>5.1509999999999998</v>
      </c>
      <c r="D105">
        <f>IF(AND(대시보드!$A$5,대시보드!$J$10),('Raw Data'!D18)*(0.00000000171393408/506450380903.8),NA())</f>
        <v>2.1783390418526642E-11</v>
      </c>
      <c r="E105">
        <f>'Raw Data'!D18</f>
        <v>6436774029.7450676</v>
      </c>
    </row>
    <row r="106" spans="1:5" x14ac:dyDescent="0.35">
      <c r="A106" t="s">
        <v>23</v>
      </c>
      <c r="B106" t="s">
        <v>42</v>
      </c>
      <c r="C106">
        <f>IF(AND(대시보드!$A$5,대시보드!$J$10),'Raw Data'!A19,NA())</f>
        <v>5.359</v>
      </c>
      <c r="D106">
        <f>IF(AND(대시보드!$A$5,대시보드!$J$10),('Raw Data'!D19)*(0.00000000171393408/506450380903.8),NA())</f>
        <v>-4.5904675446176681E-11</v>
      </c>
      <c r="E106">
        <f>'Raw Data'!D19</f>
        <v>-13564372537.00066</v>
      </c>
    </row>
    <row r="107" spans="1:5" x14ac:dyDescent="0.35">
      <c r="A107" t="s">
        <v>23</v>
      </c>
      <c r="B107" t="s">
        <v>42</v>
      </c>
      <c r="C107">
        <f>IF(AND(대시보드!$A$5,대시보드!$J$10),'Raw Data'!A20,NA())</f>
        <v>5.5670000000000002</v>
      </c>
      <c r="D107">
        <f>IF(AND(대시보드!$A$5,대시보드!$J$10),('Raw Data'!D20)*(0.00000000171393408/506450380903.8),NA())</f>
        <v>-9.9985542272067788E-11</v>
      </c>
      <c r="E107">
        <f>'Raw Data'!D20</f>
        <v>-29544727862.90691</v>
      </c>
    </row>
    <row r="108" spans="1:5" x14ac:dyDescent="0.35">
      <c r="A108" t="s">
        <v>23</v>
      </c>
      <c r="B108" t="s">
        <v>42</v>
      </c>
      <c r="C108">
        <f>IF(AND(대시보드!$A$5,대시보드!$J$10),'Raw Data'!A21,NA())</f>
        <v>5.79</v>
      </c>
      <c r="D108">
        <f>IF(AND(대시보드!$A$5,대시보드!$J$10),('Raw Data'!D21)*(0.00000000171393408/506450380903.8),NA())</f>
        <v>-5.5725449034074026E-11</v>
      </c>
      <c r="E108">
        <f>'Raw Data'!D21</f>
        <v>-16466312922.22282</v>
      </c>
    </row>
    <row r="109" spans="1:5" x14ac:dyDescent="0.35">
      <c r="A109" t="s">
        <v>23</v>
      </c>
      <c r="B109" t="s">
        <v>42</v>
      </c>
      <c r="C109">
        <f>IF(AND(대시보드!$A$5,대시보드!$J$10),'Raw Data'!A22,NA())</f>
        <v>5.9980000000000002</v>
      </c>
      <c r="D109">
        <f>IF(AND(대시보드!$A$5,대시보드!$J$10),('Raw Data'!D22)*(0.00000000171393408/506450380903.8),NA())</f>
        <v>7.6569722614548144E-11</v>
      </c>
      <c r="E109">
        <f>'Raw Data'!D22</f>
        <v>22625587317.708401</v>
      </c>
    </row>
    <row r="110" spans="1:5" x14ac:dyDescent="0.35">
      <c r="A110" t="s">
        <v>23</v>
      </c>
      <c r="B110" t="s">
        <v>42</v>
      </c>
      <c r="C110">
        <f>IF(AND(대시보드!$A$5,대시보드!$J$10),'Raw Data'!A23,NA())</f>
        <v>6.2060000000000004</v>
      </c>
      <c r="D110">
        <f>IF(AND(대시보드!$A$5,대시보드!$J$10),('Raw Data'!D23)*(0.00000000171393408/506450380903.8),NA())</f>
        <v>1.5671201130718039E-10</v>
      </c>
      <c r="E110">
        <f>'Raw Data'!D23</f>
        <v>46306832185.005692</v>
      </c>
    </row>
    <row r="111" spans="1:5" x14ac:dyDescent="0.35">
      <c r="A111" t="s">
        <v>23</v>
      </c>
      <c r="B111" t="s">
        <v>42</v>
      </c>
      <c r="C111">
        <f>IF(AND(대시보드!$A$5,대시보드!$J$10),'Raw Data'!A24,NA())</f>
        <v>6.431</v>
      </c>
      <c r="D111">
        <f>IF(AND(대시보드!$A$5,대시보드!$J$10),('Raw Data'!D24)*(0.00000000171393408/506450380903.8),NA())</f>
        <v>-8.7230801711858887E-11</v>
      </c>
      <c r="E111">
        <f>'Raw Data'!D24</f>
        <v>-25775829577.713268</v>
      </c>
    </row>
    <row r="112" spans="1:5" x14ac:dyDescent="0.35">
      <c r="A112" t="s">
        <v>23</v>
      </c>
      <c r="B112" t="s">
        <v>42</v>
      </c>
      <c r="C112">
        <f>IF(AND(대시보드!$A$5,대시보드!$J$10),'Raw Data'!A25,NA())</f>
        <v>6.62</v>
      </c>
      <c r="D112">
        <f>IF(AND(대시보드!$A$5,대시보드!$J$10),('Raw Data'!D25)*(0.00000000171393408/506450380903.8),NA())</f>
        <v>-5.6563564805644337E-11</v>
      </c>
      <c r="E112">
        <f>'Raw Data'!D25</f>
        <v>-16713967751.370781</v>
      </c>
    </row>
    <row r="113" spans="1:5" x14ac:dyDescent="0.35">
      <c r="A113" t="s">
        <v>23</v>
      </c>
      <c r="B113" t="s">
        <v>42</v>
      </c>
      <c r="C113">
        <f>IF(AND(대시보드!$A$5,대시보드!$J$10),'Raw Data'!A26,NA())</f>
        <v>6.8449999999999998</v>
      </c>
      <c r="D113">
        <f>IF(AND(대시보드!$A$5,대시보드!$J$10),('Raw Data'!D26)*(0.00000000171393408/506450380903.8),NA())</f>
        <v>2.5820439372174904E-11</v>
      </c>
      <c r="E113">
        <f>'Raw Data'!D26</f>
        <v>7629681624.1272554</v>
      </c>
    </row>
    <row r="114" spans="1:5" x14ac:dyDescent="0.35">
      <c r="A114" t="s">
        <v>23</v>
      </c>
      <c r="B114" t="s">
        <v>42</v>
      </c>
      <c r="C114">
        <f>IF(AND(대시보드!$A$5,대시보드!$J$10),'Raw Data'!A27,NA())</f>
        <v>7.0519999999999996</v>
      </c>
      <c r="D114">
        <f>IF(AND(대시보드!$A$5,대시보드!$J$10),('Raw Data'!D27)*(0.00000000171393408/506450380903.8),NA())</f>
        <v>3.2002571756298797E-10</v>
      </c>
      <c r="E114">
        <f>'Raw Data'!D27</f>
        <v>94564399208.858231</v>
      </c>
    </row>
    <row r="115" spans="1:5" x14ac:dyDescent="0.35">
      <c r="A115" t="s">
        <v>23</v>
      </c>
      <c r="B115" t="s">
        <v>42</v>
      </c>
      <c r="C115">
        <f>IF(AND(대시보드!$A$5,대시보드!$J$10),'Raw Data'!A28,NA())</f>
        <v>7.26</v>
      </c>
      <c r="D115">
        <f>IF(AND(대시보드!$A$5,대시보드!$J$10),('Raw Data'!D28)*(0.00000000171393408/506450380903.8),NA())</f>
        <v>2.4984516935245498E-11</v>
      </c>
      <c r="E115">
        <f>'Raw Data'!D28</f>
        <v>7382674903.4318304</v>
      </c>
    </row>
    <row r="116" spans="1:5" x14ac:dyDescent="0.35">
      <c r="A116" t="s">
        <v>23</v>
      </c>
      <c r="B116" t="s">
        <v>42</v>
      </c>
      <c r="C116">
        <f>IF(AND(대시보드!$A$5,대시보드!$J$10),'Raw Data'!A29,NA())</f>
        <v>7.484</v>
      </c>
      <c r="D116">
        <f>IF(AND(대시보드!$A$5,대시보드!$J$10),('Raw Data'!D29)*(0.00000000171393408/506450380903.8),NA())</f>
        <v>3.3437093578317779E-11</v>
      </c>
      <c r="E116">
        <f>'Raw Data'!D29</f>
        <v>9880326773.7432709</v>
      </c>
    </row>
    <row r="117" spans="1:5" x14ac:dyDescent="0.35">
      <c r="A117" t="s">
        <v>23</v>
      </c>
      <c r="B117" t="s">
        <v>42</v>
      </c>
      <c r="C117">
        <f>IF(AND(대시보드!$A$5,대시보드!$J$10),'Raw Data'!A30,NA())</f>
        <v>7.6760000000000002</v>
      </c>
      <c r="D117">
        <f>IF(AND(대시보드!$A$5,대시보드!$J$10),('Raw Data'!D30)*(0.00000000171393408/506450380903.8),NA())</f>
        <v>2.943129594289624E-11</v>
      </c>
      <c r="E117">
        <f>'Raw Data'!D30</f>
        <v>8696653631.376688</v>
      </c>
    </row>
    <row r="118" spans="1:5" x14ac:dyDescent="0.35">
      <c r="A118" t="s">
        <v>23</v>
      </c>
      <c r="B118" t="s">
        <v>42</v>
      </c>
      <c r="C118">
        <f>IF(AND(대시보드!$A$5,대시보드!$J$10),'Raw Data'!A31,NA())</f>
        <v>7.8979999999999997</v>
      </c>
      <c r="D118">
        <f>IF(AND(대시보드!$A$5,대시보드!$J$10),('Raw Data'!D31)*(0.00000000171393408/506450380903.8),NA())</f>
        <v>2.8565549472725281E-11</v>
      </c>
      <c r="E118">
        <f>'Raw Data'!D31</f>
        <v>8440834207.1055965</v>
      </c>
    </row>
    <row r="119" spans="1:5" x14ac:dyDescent="0.35">
      <c r="A119" t="s">
        <v>23</v>
      </c>
      <c r="B119" t="s">
        <v>42</v>
      </c>
      <c r="C119">
        <f>IF(AND(대시보드!$A$5,대시보드!$J$10),'Raw Data'!A32,NA())</f>
        <v>8.1080000000000005</v>
      </c>
      <c r="D119">
        <f>IF(AND(대시보드!$A$5,대시보드!$J$10),('Raw Data'!D32)*(0.00000000171393408/506450380903.8),NA())</f>
        <v>5.1839411983162831E-11</v>
      </c>
      <c r="E119">
        <f>'Raw Data'!D32</f>
        <v>15318027834.94557</v>
      </c>
    </row>
    <row r="120" spans="1:5" x14ac:dyDescent="0.35">
      <c r="A120" t="s">
        <v>23</v>
      </c>
      <c r="B120" t="s">
        <v>42</v>
      </c>
      <c r="C120">
        <f>IF(AND(대시보드!$A$5,대시보드!$J$10),'Raw Data'!A33,NA())</f>
        <v>8.3149999999999995</v>
      </c>
      <c r="D120">
        <f>IF(AND(대시보드!$A$5,대시보드!$J$10),('Raw Data'!D33)*(0.00000000171393408/506450380903.8),NA())</f>
        <v>-7.1907546159966836E-11</v>
      </c>
      <c r="E120">
        <f>'Raw Data'!D33</f>
        <v>-21247960798.219719</v>
      </c>
    </row>
    <row r="121" spans="1:5" x14ac:dyDescent="0.35">
      <c r="A121" t="s">
        <v>23</v>
      </c>
      <c r="B121" t="s">
        <v>42</v>
      </c>
      <c r="C121">
        <f>IF(AND(대시보드!$A$5,대시보드!$J$10),'Raw Data'!A34,NA())</f>
        <v>8.5389999999999997</v>
      </c>
      <c r="D121">
        <f>IF(AND(대시보드!$A$5,대시보드!$J$10),('Raw Data'!D34)*(0.00000000171393408/506450380903.8),NA())</f>
        <v>-5.4464296832975966E-11</v>
      </c>
      <c r="E121">
        <f>'Raw Data'!D34</f>
        <v>-16093655058.6113</v>
      </c>
    </row>
    <row r="122" spans="1:5" x14ac:dyDescent="0.35">
      <c r="A122" t="s">
        <v>23</v>
      </c>
      <c r="B122" t="s">
        <v>42</v>
      </c>
      <c r="C122">
        <f>IF(AND(대시보드!$A$5,대시보드!$J$10),'Raw Data'!A35,NA())</f>
        <v>8.7309999999999999</v>
      </c>
      <c r="D122">
        <f>IF(AND(대시보드!$A$5,대시보드!$J$10),('Raw Data'!D35)*(0.00000000171393408/506450380903.8),NA())</f>
        <v>2.3874510279113996E-11</v>
      </c>
      <c r="E122">
        <f>'Raw Data'!D35</f>
        <v>7054679036.867609</v>
      </c>
    </row>
    <row r="123" spans="1:5" x14ac:dyDescent="0.35">
      <c r="A123" t="s">
        <v>23</v>
      </c>
      <c r="B123" t="s">
        <v>42</v>
      </c>
      <c r="C123">
        <f>IF(AND(대시보드!$A$5,대시보드!$J$10),'Raw Data'!A36,NA())</f>
        <v>8.9540000000000006</v>
      </c>
      <c r="D123">
        <f>IF(AND(대시보드!$A$5,대시보드!$J$10),('Raw Data'!D36)*(0.00000000171393408/506450380903.8),NA())</f>
        <v>-9.4153526277710176E-10</v>
      </c>
      <c r="E123">
        <f>'Raw Data'!D36</f>
        <v>-278214254580.79608</v>
      </c>
    </row>
    <row r="124" spans="1:5" x14ac:dyDescent="0.35">
      <c r="A124" t="s">
        <v>23</v>
      </c>
      <c r="B124" t="s">
        <v>42</v>
      </c>
      <c r="C124">
        <f>IF(AND(대시보드!$A$5,대시보드!$J$10),'Raw Data'!A37,NA())</f>
        <v>9.1620000000000008</v>
      </c>
      <c r="D124">
        <f>IF(AND(대시보드!$A$5,대시보드!$J$10),('Raw Data'!D37)*(0.00000000171393408/506450380903.8),NA())</f>
        <v>-6.4576070972114176E-11</v>
      </c>
      <c r="E124">
        <f>'Raw Data'!D37</f>
        <v>-19081583196.652489</v>
      </c>
    </row>
    <row r="125" spans="1:5" x14ac:dyDescent="0.35">
      <c r="A125" t="s">
        <v>23</v>
      </c>
      <c r="B125" t="s">
        <v>42</v>
      </c>
      <c r="C125">
        <f>IF(AND(대시보드!$A$5,대시보드!$J$10),'Raw Data'!A38,NA())</f>
        <v>9.3689999999999998</v>
      </c>
      <c r="D125">
        <f>IF(AND(대시보드!$A$5,대시보드!$J$10),('Raw Data'!D38)*(0.00000000171393408/506450380903.8),NA())</f>
        <v>-5.6992249323971544E-11</v>
      </c>
      <c r="E125">
        <f>'Raw Data'!D38</f>
        <v>-16840639739.59239</v>
      </c>
    </row>
    <row r="126" spans="1:5" x14ac:dyDescent="0.35">
      <c r="A126" t="s">
        <v>23</v>
      </c>
      <c r="B126" t="s">
        <v>42</v>
      </c>
      <c r="C126">
        <f>IF(AND(대시보드!$A$5,대시보드!$J$10),'Raw Data'!A39,NA())</f>
        <v>9.5779999999999994</v>
      </c>
      <c r="D126">
        <f>IF(AND(대시보드!$A$5,대시보드!$J$10),('Raw Data'!D39)*(0.00000000171393408/506450380903.8),NA())</f>
        <v>3.8408506446344684E-11</v>
      </c>
      <c r="E126">
        <f>'Raw Data'!D39</f>
        <v>11349329560.96965</v>
      </c>
    </row>
    <row r="127" spans="1:5" x14ac:dyDescent="0.35">
      <c r="A127" t="s">
        <v>23</v>
      </c>
      <c r="B127" t="s">
        <v>42</v>
      </c>
      <c r="C127">
        <f>IF(AND(대시보드!$A$5,대시보드!$J$10),'Raw Data'!A40,NA())</f>
        <v>9.7840000000000007</v>
      </c>
      <c r="D127">
        <f>IF(AND(대시보드!$A$5,대시보드!$J$10),('Raw Data'!D40)*(0.00000000171393408/506450380903.8),NA())</f>
        <v>3.6213196865288164E-11</v>
      </c>
      <c r="E127">
        <f>'Raw Data'!D40</f>
        <v>10700637533.369711</v>
      </c>
    </row>
    <row r="128" spans="1:5" x14ac:dyDescent="0.35">
      <c r="A128" t="s">
        <v>23</v>
      </c>
      <c r="B128" t="s">
        <v>42</v>
      </c>
      <c r="C128">
        <f>IF(AND(대시보드!$A$5,대시보드!$J$10),'Raw Data'!A41,NA())</f>
        <v>9.9920000000000009</v>
      </c>
      <c r="D128">
        <f>IF(AND(대시보드!$A$5,대시보드!$J$10),('Raw Data'!D41)*(0.00000000171393408/506450380903.8),NA())</f>
        <v>2.6977694085873917E-11</v>
      </c>
      <c r="E128">
        <f>'Raw Data'!D41</f>
        <v>7971638819.2112017</v>
      </c>
    </row>
    <row r="129" spans="1:5" x14ac:dyDescent="0.35">
      <c r="A129" t="s">
        <v>23</v>
      </c>
      <c r="B129" t="s">
        <v>42</v>
      </c>
      <c r="C129">
        <f>IF(AND(대시보드!$A$5,대시보드!$J$10),'Raw Data'!A42,NA())</f>
        <v>10.201000000000001</v>
      </c>
      <c r="D129">
        <f>IF(AND(대시보드!$A$5,대시보드!$J$10),('Raw Data'!D42)*(0.00000000171393408/506450380903.8),NA())</f>
        <v>3.2237188045906206E-11</v>
      </c>
      <c r="E129">
        <f>'Raw Data'!D42</f>
        <v>9525766688.2477913</v>
      </c>
    </row>
    <row r="130" spans="1:5" x14ac:dyDescent="0.35">
      <c r="A130" t="s">
        <v>23</v>
      </c>
      <c r="B130" t="s">
        <v>42</v>
      </c>
      <c r="C130">
        <f>IF(AND(대시보드!$A$5,대시보드!$J$10),'Raw Data'!A43,NA())</f>
        <v>10.407999999999999</v>
      </c>
      <c r="D130">
        <f>IF(AND(대시보드!$A$5,대시보드!$J$10),('Raw Data'!D43)*(0.00000000171393408/506450380903.8),NA())</f>
        <v>4.0648176705414385E-10</v>
      </c>
      <c r="E130">
        <f>'Raw Data'!D43</f>
        <v>120111297253.0547</v>
      </c>
    </row>
    <row r="131" spans="1:5" x14ac:dyDescent="0.35">
      <c r="A131" t="s">
        <v>23</v>
      </c>
      <c r="B131" t="s">
        <v>42</v>
      </c>
      <c r="C131">
        <f>IF(AND(대시보드!$A$5,대시보드!$J$10),'Raw Data'!A44,NA())</f>
        <v>10.616</v>
      </c>
      <c r="D131">
        <f>IF(AND(대시보드!$A$5,대시보드!$J$10),('Raw Data'!D44)*(0.00000000171393408/506450380903.8),NA())</f>
        <v>3.8630316225309693E-11</v>
      </c>
      <c r="E131">
        <f>'Raw Data'!D44</f>
        <v>11414872132.50485</v>
      </c>
    </row>
    <row r="132" spans="1:5" x14ac:dyDescent="0.35">
      <c r="A132" t="s">
        <v>23</v>
      </c>
      <c r="B132" t="s">
        <v>42</v>
      </c>
      <c r="C132">
        <f>IF(AND(대시보드!$A$5,대시보드!$J$10),'Raw Data'!A45,NA())</f>
        <v>10.839</v>
      </c>
      <c r="D132">
        <f>IF(AND(대시보드!$A$5,대시보드!$J$10),('Raw Data'!D45)*(0.00000000171393408/506450380903.8),NA())</f>
        <v>3.1710497487414556E-11</v>
      </c>
      <c r="E132">
        <f>'Raw Data'!D45</f>
        <v>9370134895.2405987</v>
      </c>
    </row>
    <row r="133" spans="1:5" x14ac:dyDescent="0.35">
      <c r="A133" t="s">
        <v>23</v>
      </c>
      <c r="B133" t="s">
        <v>42</v>
      </c>
      <c r="C133">
        <f>IF(AND(대시보드!$A$5,대시보드!$J$10),'Raw Data'!A46,NA())</f>
        <v>11.031000000000001</v>
      </c>
      <c r="D133">
        <f>IF(AND(대시보드!$A$5,대시보드!$J$10),('Raw Data'!D46)*(0.00000000171393408/506450380903.8),NA())</f>
        <v>2.2006461180688696E-11</v>
      </c>
      <c r="E133">
        <f>'Raw Data'!D46</f>
        <v>6502689209.2048702</v>
      </c>
    </row>
    <row r="134" spans="1:5" x14ac:dyDescent="0.35">
      <c r="A134" t="s">
        <v>23</v>
      </c>
      <c r="B134" t="s">
        <v>42</v>
      </c>
      <c r="C134">
        <f>IF(AND(대시보드!$A$5,대시보드!$J$10),'Raw Data'!A47,NA())</f>
        <v>11.255000000000001</v>
      </c>
      <c r="D134">
        <f>IF(AND(대시보드!$A$5,대시보드!$J$10),('Raw Data'!D47)*(0.00000000171393408/506450380903.8),NA())</f>
        <v>-4.6580315004086857E-11</v>
      </c>
      <c r="E134">
        <f>'Raw Data'!D47</f>
        <v>-13764017269.81167</v>
      </c>
    </row>
    <row r="135" spans="1:5" x14ac:dyDescent="0.35">
      <c r="A135" t="s">
        <v>23</v>
      </c>
      <c r="B135" t="s">
        <v>42</v>
      </c>
      <c r="C135">
        <f>IF(AND(대시보드!$A$5,대시보드!$J$10),'Raw Data'!A48,NA())</f>
        <v>11.462</v>
      </c>
      <c r="D135">
        <f>IF(AND(대시보드!$A$5,대시보드!$J$10),('Raw Data'!D48)*(0.00000000171393408/506450380903.8),NA())</f>
        <v>2.8072642631492711E-11</v>
      </c>
      <c r="E135">
        <f>'Raw Data'!D48</f>
        <v>8295185164.7034969</v>
      </c>
    </row>
    <row r="136" spans="1:5" x14ac:dyDescent="0.35">
      <c r="A136" t="s">
        <v>23</v>
      </c>
      <c r="B136" t="s">
        <v>42</v>
      </c>
      <c r="C136">
        <f>IF(AND(대시보드!$A$5,대시보드!$J$10),'Raw Data'!A49,NA())</f>
        <v>11.670999999999999</v>
      </c>
      <c r="D136">
        <f>IF(AND(대시보드!$A$5,대시보드!$J$10),('Raw Data'!D49)*(0.00000000171393408/506450380903.8),NA())</f>
        <v>2.3593567375241179E-11</v>
      </c>
      <c r="E136">
        <f>'Raw Data'!D49</f>
        <v>6971663218.2670422</v>
      </c>
    </row>
    <row r="137" spans="1:5" x14ac:dyDescent="0.35">
      <c r="A137" t="s">
        <v>23</v>
      </c>
      <c r="B137" t="s">
        <v>42</v>
      </c>
      <c r="C137">
        <f>IF(AND(대시보드!$A$5,대시보드!$J$10),'Raw Data'!A50,NA())</f>
        <v>11.878</v>
      </c>
      <c r="D137">
        <f>IF(AND(대시보드!$A$5,대시보드!$J$10),('Raw Data'!D50)*(0.00000000171393408/506450380903.8),NA())</f>
        <v>-5.4316867648756533E-11</v>
      </c>
      <c r="E137">
        <f>'Raw Data'!D50</f>
        <v>-16050091209.000311</v>
      </c>
    </row>
    <row r="138" spans="1:5" x14ac:dyDescent="0.35">
      <c r="A138" t="s">
        <v>23</v>
      </c>
      <c r="B138" t="s">
        <v>42</v>
      </c>
      <c r="C138">
        <f>IF(AND(대시보드!$A$5,대시보드!$J$10),'Raw Data'!A51,NA())</f>
        <v>12.085000000000001</v>
      </c>
      <c r="D138">
        <f>IF(AND(대시보드!$A$5,대시보드!$J$10),('Raw Data'!D51)*(0.00000000171393408/506450380903.8),NA())</f>
        <v>-5.5213856671422386E-11</v>
      </c>
      <c r="E138">
        <f>'Raw Data'!D51</f>
        <v>-16315142495.10091</v>
      </c>
    </row>
    <row r="139" spans="1:5" x14ac:dyDescent="0.35">
      <c r="A139" t="s">
        <v>23</v>
      </c>
      <c r="B139" t="s">
        <v>42</v>
      </c>
      <c r="C139">
        <f>IF(AND(대시보드!$A$5,대시보드!$J$10),'Raw Data'!A52,NA())</f>
        <v>12.308</v>
      </c>
      <c r="D139">
        <f>IF(AND(대시보드!$A$5,대시보드!$J$10),('Raw Data'!D52)*(0.00000000171393408/506450380903.8),NA())</f>
        <v>-5.4261086942025175E-10</v>
      </c>
      <c r="E139">
        <f>'Raw Data'!D52</f>
        <v>-160336085679.81131</v>
      </c>
    </row>
    <row r="140" spans="1:5" x14ac:dyDescent="0.35">
      <c r="A140" t="s">
        <v>23</v>
      </c>
      <c r="B140" t="s">
        <v>42</v>
      </c>
      <c r="C140">
        <f>IF(AND(대시보드!$A$5,대시보드!$J$10),'Raw Data'!A53,NA())</f>
        <v>12.503</v>
      </c>
      <c r="D140">
        <f>IF(AND(대시보드!$A$5,대시보드!$J$10),('Raw Data'!D53)*(0.00000000171393408/506450380903.8),NA())</f>
        <v>7.725804345161527E-11</v>
      </c>
      <c r="E140">
        <f>'Raw Data'!D53</f>
        <v>22828979241.694569</v>
      </c>
    </row>
    <row r="141" spans="1:5" x14ac:dyDescent="0.35">
      <c r="A141" t="s">
        <v>23</v>
      </c>
      <c r="B141" t="s">
        <v>42</v>
      </c>
      <c r="C141">
        <f>IF(AND(대시보드!$A$5,대시보드!$J$10),'Raw Data'!A54,NA())</f>
        <v>12.725</v>
      </c>
      <c r="D141">
        <f>IF(AND(대시보드!$A$5,대시보드!$J$10),('Raw Data'!D54)*(0.00000000171393408/506450380903.8),NA())</f>
        <v>-7.1143244217040765E-11</v>
      </c>
      <c r="E141">
        <f>'Raw Data'!D54</f>
        <v>-21022117217.280819</v>
      </c>
    </row>
    <row r="142" spans="1:5" x14ac:dyDescent="0.35">
      <c r="A142" t="s">
        <v>23</v>
      </c>
      <c r="B142" t="s">
        <v>42</v>
      </c>
      <c r="C142">
        <f>IF(AND(대시보드!$A$5,대시보드!$J$10),'Raw Data'!A55,NA())</f>
        <v>12.930999999999999</v>
      </c>
      <c r="D142">
        <f>IF(AND(대시보드!$A$5,대시보드!$J$10),('Raw Data'!D55)*(0.00000000171393408/506450380903.8),NA())</f>
        <v>-4.1879650417324633E-11</v>
      </c>
      <c r="E142">
        <f>'Raw Data'!D55</f>
        <v>-12375017892.15373</v>
      </c>
    </row>
    <row r="143" spans="1:5" x14ac:dyDescent="0.35">
      <c r="A143" t="s">
        <v>24</v>
      </c>
      <c r="B143" t="s">
        <v>40</v>
      </c>
      <c r="C143">
        <f>IF(AND(대시보드!$A$6,대시보드!$A$10),'Raw Data'!F9,NA())</f>
        <v>2.9</v>
      </c>
      <c r="D143">
        <f>IF(AND(대시보드!$A$6,대시보드!$A$10),'Raw Data'!G9,NA())</f>
        <v>9.0001390000000008</v>
      </c>
      <c r="E143">
        <f>'Raw Data'!G9</f>
        <v>9.0001390000000008</v>
      </c>
    </row>
    <row r="144" spans="1:5" x14ac:dyDescent="0.35">
      <c r="A144" t="s">
        <v>24</v>
      </c>
      <c r="B144" t="s">
        <v>40</v>
      </c>
      <c r="C144">
        <f>IF(AND(대시보드!$A$6,대시보드!$A$10),'Raw Data'!F10,NA())</f>
        <v>3.3940000000000001</v>
      </c>
      <c r="D144">
        <f>IF(AND(대시보드!$A$6,대시보드!$A$10),'Raw Data'!G10,NA())</f>
        <v>9.0000020000000003</v>
      </c>
      <c r="E144">
        <f>'Raw Data'!G10</f>
        <v>9.0000020000000003</v>
      </c>
    </row>
    <row r="145" spans="1:5" x14ac:dyDescent="0.35">
      <c r="A145" t="s">
        <v>24</v>
      </c>
      <c r="B145" t="s">
        <v>40</v>
      </c>
      <c r="C145">
        <f>IF(AND(대시보드!$A$6,대시보드!$A$10),'Raw Data'!F11,NA())</f>
        <v>3.6659999999999999</v>
      </c>
      <c r="D145">
        <f>IF(AND(대시보드!$A$6,대시보드!$A$10),'Raw Data'!G11,NA())</f>
        <v>8.9998229999999992</v>
      </c>
      <c r="E145">
        <f>'Raw Data'!G11</f>
        <v>8.9998229999999992</v>
      </c>
    </row>
    <row r="146" spans="1:5" x14ac:dyDescent="0.35">
      <c r="A146" t="s">
        <v>24</v>
      </c>
      <c r="B146" t="s">
        <v>40</v>
      </c>
      <c r="C146">
        <f>IF(AND(대시보드!$A$6,대시보드!$A$10),'Raw Data'!F12,NA())</f>
        <v>3.8250000000000002</v>
      </c>
      <c r="D146">
        <f>IF(AND(대시보드!$A$6,대시보드!$A$10),'Raw Data'!G12,NA())</f>
        <v>9.0001250000000006</v>
      </c>
      <c r="E146">
        <f>'Raw Data'!G12</f>
        <v>9.0001250000000006</v>
      </c>
    </row>
    <row r="147" spans="1:5" x14ac:dyDescent="0.35">
      <c r="A147" t="s">
        <v>24</v>
      </c>
      <c r="B147" t="s">
        <v>40</v>
      </c>
      <c r="C147">
        <f>IF(AND(대시보드!$A$6,대시보드!$A$10),'Raw Data'!F13,NA())</f>
        <v>4.0810000000000004</v>
      </c>
      <c r="D147">
        <f>IF(AND(대시보드!$A$6,대시보드!$A$10),'Raw Data'!G13,NA())</f>
        <v>9.0001470000000001</v>
      </c>
      <c r="E147">
        <f>'Raw Data'!G13</f>
        <v>9.0001470000000001</v>
      </c>
    </row>
    <row r="148" spans="1:5" x14ac:dyDescent="0.35">
      <c r="A148" t="s">
        <v>24</v>
      </c>
      <c r="B148" t="s">
        <v>40</v>
      </c>
      <c r="C148">
        <f>IF(AND(대시보드!$A$6,대시보드!$A$10),'Raw Data'!F14,NA())</f>
        <v>4.3070000000000004</v>
      </c>
      <c r="D148">
        <f>IF(AND(대시보드!$A$6,대시보드!$A$10),'Raw Data'!G14,NA())</f>
        <v>9.0000640000000001</v>
      </c>
      <c r="E148">
        <f>'Raw Data'!G14</f>
        <v>9.0000640000000001</v>
      </c>
    </row>
    <row r="149" spans="1:5" x14ac:dyDescent="0.35">
      <c r="A149" t="s">
        <v>24</v>
      </c>
      <c r="B149" t="s">
        <v>40</v>
      </c>
      <c r="C149">
        <f>IF(AND(대시보드!$A$6,대시보드!$A$10),'Raw Data'!F15,NA())</f>
        <v>4.4969999999999999</v>
      </c>
      <c r="D149">
        <f>IF(AND(대시보드!$A$6,대시보드!$A$10),'Raw Data'!G15,NA())</f>
        <v>9.0000129999999992</v>
      </c>
      <c r="E149">
        <f>'Raw Data'!G15</f>
        <v>9.0000129999999992</v>
      </c>
    </row>
    <row r="150" spans="1:5" x14ac:dyDescent="0.35">
      <c r="A150" t="s">
        <v>24</v>
      </c>
      <c r="B150" t="s">
        <v>40</v>
      </c>
      <c r="C150">
        <f>IF(AND(대시보드!$A$6,대시보드!$A$10),'Raw Data'!F16,NA())</f>
        <v>4.7190000000000003</v>
      </c>
      <c r="D150">
        <f>IF(AND(대시보드!$A$6,대시보드!$A$10),'Raw Data'!G16,NA())</f>
        <v>8.9999660000000006</v>
      </c>
      <c r="E150">
        <f>'Raw Data'!G16</f>
        <v>8.9999660000000006</v>
      </c>
    </row>
    <row r="151" spans="1:5" x14ac:dyDescent="0.35">
      <c r="A151" t="s">
        <v>24</v>
      </c>
      <c r="B151" t="s">
        <v>40</v>
      </c>
      <c r="C151">
        <f>IF(AND(대시보드!$A$6,대시보드!$A$10),'Raw Data'!F17,NA())</f>
        <v>4.9279999999999999</v>
      </c>
      <c r="D151">
        <f>IF(AND(대시보드!$A$6,대시보드!$A$10),'Raw Data'!G17,NA())</f>
        <v>9.0000309999999999</v>
      </c>
      <c r="E151">
        <f>'Raw Data'!G17</f>
        <v>9.0000309999999999</v>
      </c>
    </row>
    <row r="152" spans="1:5" x14ac:dyDescent="0.35">
      <c r="A152" t="s">
        <v>24</v>
      </c>
      <c r="B152" t="s">
        <v>40</v>
      </c>
      <c r="C152">
        <f>IF(AND(대시보드!$A$6,대시보드!$A$10),'Raw Data'!F18,NA())</f>
        <v>5.1349999999999998</v>
      </c>
      <c r="D152">
        <f>IF(AND(대시보드!$A$6,대시보드!$A$10),'Raw Data'!G18,NA())</f>
        <v>9.0001339999999992</v>
      </c>
      <c r="E152">
        <f>'Raw Data'!G18</f>
        <v>9.0001339999999992</v>
      </c>
    </row>
    <row r="153" spans="1:5" x14ac:dyDescent="0.35">
      <c r="A153" t="s">
        <v>24</v>
      </c>
      <c r="B153" t="s">
        <v>40</v>
      </c>
      <c r="C153">
        <f>IF(AND(대시보드!$A$6,대시보드!$A$10),'Raw Data'!F19,NA())</f>
        <v>5.36</v>
      </c>
      <c r="D153">
        <f>IF(AND(대시보드!$A$6,대시보드!$A$10),'Raw Data'!G19,NA())</f>
        <v>8.9999099999999999</v>
      </c>
      <c r="E153">
        <f>'Raw Data'!G19</f>
        <v>8.9999099999999999</v>
      </c>
    </row>
    <row r="154" spans="1:5" x14ac:dyDescent="0.35">
      <c r="A154" t="s">
        <v>24</v>
      </c>
      <c r="B154" t="s">
        <v>40</v>
      </c>
      <c r="C154">
        <f>IF(AND(대시보드!$A$6,대시보드!$A$10),'Raw Data'!F20,NA())</f>
        <v>5.5519999999999996</v>
      </c>
      <c r="D154">
        <f>IF(AND(대시보드!$A$6,대시보드!$A$10),'Raw Data'!G20,NA())</f>
        <v>9.0000499999999999</v>
      </c>
      <c r="E154">
        <f>'Raw Data'!G20</f>
        <v>9.0000499999999999</v>
      </c>
    </row>
    <row r="155" spans="1:5" x14ac:dyDescent="0.35">
      <c r="A155" t="s">
        <v>24</v>
      </c>
      <c r="B155" t="s">
        <v>40</v>
      </c>
      <c r="C155">
        <f>IF(AND(대시보드!$A$6,대시보드!$A$10),'Raw Data'!F21,NA())</f>
        <v>5.7750000000000004</v>
      </c>
      <c r="D155">
        <f>IF(AND(대시보드!$A$6,대시보드!$A$10),'Raw Data'!G21,NA())</f>
        <v>8.9999269999999996</v>
      </c>
      <c r="E155">
        <f>'Raw Data'!G21</f>
        <v>8.9999269999999996</v>
      </c>
    </row>
    <row r="156" spans="1:5" x14ac:dyDescent="0.35">
      <c r="A156" t="s">
        <v>24</v>
      </c>
      <c r="B156" t="s">
        <v>40</v>
      </c>
      <c r="C156">
        <f>IF(AND(대시보드!$A$6,대시보드!$A$10),'Raw Data'!F22,NA())</f>
        <v>5.9829999999999997</v>
      </c>
      <c r="D156">
        <f>IF(AND(대시보드!$A$6,대시보드!$A$10),'Raw Data'!G22,NA())</f>
        <v>9.0000739999999997</v>
      </c>
      <c r="E156">
        <f>'Raw Data'!G22</f>
        <v>9.0000739999999997</v>
      </c>
    </row>
    <row r="157" spans="1:5" x14ac:dyDescent="0.35">
      <c r="A157" t="s">
        <v>24</v>
      </c>
      <c r="B157" t="s">
        <v>40</v>
      </c>
      <c r="C157">
        <f>IF(AND(대시보드!$A$6,대시보드!$A$10),'Raw Data'!F23,NA())</f>
        <v>6.1890000000000001</v>
      </c>
      <c r="D157">
        <f>IF(AND(대시보드!$A$6,대시보드!$A$10),'Raw Data'!G23,NA())</f>
        <v>9.0000499999999999</v>
      </c>
      <c r="E157">
        <f>'Raw Data'!G23</f>
        <v>9.0000499999999999</v>
      </c>
    </row>
    <row r="158" spans="1:5" x14ac:dyDescent="0.35">
      <c r="A158" t="s">
        <v>24</v>
      </c>
      <c r="B158" t="s">
        <v>40</v>
      </c>
      <c r="C158">
        <f>IF(AND(대시보드!$A$6,대시보드!$A$10),'Raw Data'!F24,NA())</f>
        <v>6.399</v>
      </c>
      <c r="D158">
        <f>IF(AND(대시보드!$A$6,대시보드!$A$10),'Raw Data'!G24,NA())</f>
        <v>9.0000300000000006</v>
      </c>
      <c r="E158">
        <f>'Raw Data'!G24</f>
        <v>9.0000300000000006</v>
      </c>
    </row>
    <row r="159" spans="1:5" x14ac:dyDescent="0.35">
      <c r="A159" t="s">
        <v>24</v>
      </c>
      <c r="B159" t="s">
        <v>40</v>
      </c>
      <c r="C159">
        <f>IF(AND(대시보드!$A$6,대시보드!$A$10),'Raw Data'!F25,NA())</f>
        <v>6.6059999999999999</v>
      </c>
      <c r="D159">
        <f>IF(AND(대시보드!$A$6,대시보드!$A$10),'Raw Data'!G25,NA())</f>
        <v>9.0000499999999999</v>
      </c>
      <c r="E159">
        <f>'Raw Data'!G25</f>
        <v>9.0000499999999999</v>
      </c>
    </row>
    <row r="160" spans="1:5" x14ac:dyDescent="0.35">
      <c r="A160" t="s">
        <v>24</v>
      </c>
      <c r="B160" t="s">
        <v>40</v>
      </c>
      <c r="C160">
        <f>IF(AND(대시보드!$A$6,대시보드!$A$10),'Raw Data'!F26,NA())</f>
        <v>6.8120000000000003</v>
      </c>
      <c r="D160">
        <f>IF(AND(대시보드!$A$6,대시보드!$A$10),'Raw Data'!G26,NA())</f>
        <v>9.0000719999999994</v>
      </c>
      <c r="E160">
        <f>'Raw Data'!G26</f>
        <v>9.0000719999999994</v>
      </c>
    </row>
    <row r="161" spans="1:5" x14ac:dyDescent="0.35">
      <c r="A161" t="s">
        <v>24</v>
      </c>
      <c r="B161" t="s">
        <v>40</v>
      </c>
      <c r="C161">
        <f>IF(AND(대시보드!$A$6,대시보드!$A$10),'Raw Data'!F27,NA())</f>
        <v>7.0209999999999999</v>
      </c>
      <c r="D161">
        <f>IF(AND(대시보드!$A$6,대시보드!$A$10),'Raw Data'!G27,NA())</f>
        <v>9.0000610000000005</v>
      </c>
      <c r="E161">
        <f>'Raw Data'!G27</f>
        <v>9.0000610000000005</v>
      </c>
    </row>
    <row r="162" spans="1:5" x14ac:dyDescent="0.35">
      <c r="A162" t="s">
        <v>24</v>
      </c>
      <c r="B162" t="s">
        <v>40</v>
      </c>
      <c r="C162">
        <f>IF(AND(대시보드!$A$6,대시보드!$A$10),'Raw Data'!F28,NA())</f>
        <v>7.2290000000000001</v>
      </c>
      <c r="D162">
        <f>IF(AND(대시보드!$A$6,대시보드!$A$10),'Raw Data'!G28,NA())</f>
        <v>9.0000719999999994</v>
      </c>
      <c r="E162">
        <f>'Raw Data'!G28</f>
        <v>9.0000719999999994</v>
      </c>
    </row>
    <row r="163" spans="1:5" x14ac:dyDescent="0.35">
      <c r="A163" t="s">
        <v>24</v>
      </c>
      <c r="B163" t="s">
        <v>40</v>
      </c>
      <c r="C163">
        <f>IF(AND(대시보드!$A$6,대시보드!$A$10),'Raw Data'!F29,NA())</f>
        <v>7.4370000000000003</v>
      </c>
      <c r="D163">
        <f>IF(AND(대시보드!$A$6,대시보드!$A$10),'Raw Data'!G29,NA())</f>
        <v>9.0000850000000003</v>
      </c>
      <c r="E163">
        <f>'Raw Data'!G29</f>
        <v>9.0000850000000003</v>
      </c>
    </row>
    <row r="164" spans="1:5" x14ac:dyDescent="0.35">
      <c r="A164" t="s">
        <v>24</v>
      </c>
      <c r="B164" t="s">
        <v>40</v>
      </c>
      <c r="C164">
        <f>IF(AND(대시보드!$A$6,대시보드!$A$10),'Raw Data'!F30,NA())</f>
        <v>7.6449999999999996</v>
      </c>
      <c r="D164">
        <f>IF(AND(대시보드!$A$6,대시보드!$A$10),'Raw Data'!G30,NA())</f>
        <v>9.0000280000000004</v>
      </c>
      <c r="E164">
        <f>'Raw Data'!G30</f>
        <v>9.0000280000000004</v>
      </c>
    </row>
    <row r="165" spans="1:5" x14ac:dyDescent="0.35">
      <c r="A165" t="s">
        <v>24</v>
      </c>
      <c r="B165" t="s">
        <v>40</v>
      </c>
      <c r="C165">
        <f>IF(AND(대시보드!$A$6,대시보드!$A$10),'Raw Data'!F31,NA())</f>
        <v>7.8520000000000003</v>
      </c>
      <c r="D165">
        <f>IF(AND(대시보드!$A$6,대시보드!$A$10),'Raw Data'!G31,NA())</f>
        <v>9.0001139999999999</v>
      </c>
      <c r="E165">
        <f>'Raw Data'!G31</f>
        <v>9.0001139999999999</v>
      </c>
    </row>
    <row r="166" spans="1:5" x14ac:dyDescent="0.35">
      <c r="A166" t="s">
        <v>24</v>
      </c>
      <c r="B166" t="s">
        <v>40</v>
      </c>
      <c r="C166">
        <f>IF(AND(대시보드!$A$6,대시보드!$A$10),'Raw Data'!F32,NA())</f>
        <v>8.06</v>
      </c>
      <c r="D166">
        <f>IF(AND(대시보드!$A$6,대시보드!$A$10),'Raw Data'!G32,NA())</f>
        <v>9.0000630000000008</v>
      </c>
      <c r="E166">
        <f>'Raw Data'!G32</f>
        <v>9.0000630000000008</v>
      </c>
    </row>
    <row r="167" spans="1:5" x14ac:dyDescent="0.35">
      <c r="A167" t="s">
        <v>24</v>
      </c>
      <c r="B167" t="s">
        <v>40</v>
      </c>
      <c r="C167">
        <f>IF(AND(대시보드!$A$6,대시보드!$A$10),'Raw Data'!F33,NA())</f>
        <v>8.2680000000000007</v>
      </c>
      <c r="D167">
        <f>IF(AND(대시보드!$A$6,대시보드!$A$10),'Raw Data'!G33,NA())</f>
        <v>9.0000370000000007</v>
      </c>
      <c r="E167">
        <f>'Raw Data'!G33</f>
        <v>9.0000370000000007</v>
      </c>
    </row>
    <row r="168" spans="1:5" x14ac:dyDescent="0.35">
      <c r="A168" t="s">
        <v>24</v>
      </c>
      <c r="B168" t="s">
        <v>40</v>
      </c>
      <c r="C168">
        <f>IF(AND(대시보드!$A$6,대시보드!$A$10),'Raw Data'!F34,NA())</f>
        <v>8.4770000000000003</v>
      </c>
      <c r="D168">
        <f>IF(AND(대시보드!$A$6,대시보드!$A$10),'Raw Data'!G34,NA())</f>
        <v>8.9998749999999994</v>
      </c>
      <c r="E168">
        <f>'Raw Data'!G34</f>
        <v>8.9998749999999994</v>
      </c>
    </row>
    <row r="169" spans="1:5" x14ac:dyDescent="0.35">
      <c r="A169" t="s">
        <v>24</v>
      </c>
      <c r="B169" t="s">
        <v>40</v>
      </c>
      <c r="C169">
        <f>IF(AND(대시보드!$A$6,대시보드!$A$10),'Raw Data'!F35,NA())</f>
        <v>8.6989999999999998</v>
      </c>
      <c r="D169">
        <f>IF(AND(대시보드!$A$6,대시보드!$A$10),'Raw Data'!G35,NA())</f>
        <v>8.9999660000000006</v>
      </c>
      <c r="E169">
        <f>'Raw Data'!G35</f>
        <v>8.9999660000000006</v>
      </c>
    </row>
    <row r="170" spans="1:5" x14ac:dyDescent="0.35">
      <c r="A170" t="s">
        <v>24</v>
      </c>
      <c r="B170" t="s">
        <v>40</v>
      </c>
      <c r="C170">
        <f>IF(AND(대시보드!$A$6,대시보드!$A$10),'Raw Data'!F36,NA())</f>
        <v>8.9060000000000006</v>
      </c>
      <c r="D170">
        <f>IF(AND(대시보드!$A$6,대시보드!$A$10),'Raw Data'!G36,NA())</f>
        <v>9.0000739999999997</v>
      </c>
      <c r="E170">
        <f>'Raw Data'!G36</f>
        <v>9.0000739999999997</v>
      </c>
    </row>
    <row r="171" spans="1:5" x14ac:dyDescent="0.35">
      <c r="A171" t="s">
        <v>24</v>
      </c>
      <c r="B171" t="s">
        <v>40</v>
      </c>
      <c r="C171">
        <f>IF(AND(대시보드!$A$6,대시보드!$A$10),'Raw Data'!F37,NA())</f>
        <v>9.1140000000000008</v>
      </c>
      <c r="D171">
        <f>IF(AND(대시보드!$A$6,대시보드!$A$10),'Raw Data'!G37,NA())</f>
        <v>9.0000769999999992</v>
      </c>
      <c r="E171">
        <f>'Raw Data'!G37</f>
        <v>9.0000769999999992</v>
      </c>
    </row>
    <row r="172" spans="1:5" x14ac:dyDescent="0.35">
      <c r="A172" t="s">
        <v>24</v>
      </c>
      <c r="B172" t="s">
        <v>40</v>
      </c>
      <c r="C172">
        <f>IF(AND(대시보드!$A$6,대시보드!$A$10),'Raw Data'!F38,NA())</f>
        <v>9.3209999999999997</v>
      </c>
      <c r="D172">
        <f>IF(AND(대시보드!$A$6,대시보드!$A$10),'Raw Data'!G38,NA())</f>
        <v>9.0000640000000001</v>
      </c>
      <c r="E172">
        <f>'Raw Data'!G38</f>
        <v>9.0000640000000001</v>
      </c>
    </row>
    <row r="173" spans="1:5" x14ac:dyDescent="0.35">
      <c r="A173" t="s">
        <v>24</v>
      </c>
      <c r="B173" t="s">
        <v>40</v>
      </c>
      <c r="C173">
        <f>IF(AND(대시보드!$A$6,대시보드!$A$10),'Raw Data'!F39,NA())</f>
        <v>9.5449999999999999</v>
      </c>
      <c r="D173">
        <f>IF(AND(대시보드!$A$6,대시보드!$A$10),'Raw Data'!G39,NA())</f>
        <v>9.0001049999999996</v>
      </c>
      <c r="E173">
        <f>'Raw Data'!G39</f>
        <v>9.0001049999999996</v>
      </c>
    </row>
    <row r="174" spans="1:5" x14ac:dyDescent="0.35">
      <c r="A174" t="s">
        <v>24</v>
      </c>
      <c r="B174" t="s">
        <v>40</v>
      </c>
      <c r="C174">
        <f>IF(AND(대시보드!$A$6,대시보드!$A$10),'Raw Data'!F40,NA())</f>
        <v>9.7379999999999995</v>
      </c>
      <c r="D174">
        <f>IF(AND(대시보드!$A$6,대시보드!$A$10),'Raw Data'!G40,NA())</f>
        <v>9.0000599999999995</v>
      </c>
      <c r="E174">
        <f>'Raw Data'!G40</f>
        <v>9.0000599999999995</v>
      </c>
    </row>
    <row r="175" spans="1:5" x14ac:dyDescent="0.35">
      <c r="A175" t="s">
        <v>24</v>
      </c>
      <c r="B175" t="s">
        <v>40</v>
      </c>
      <c r="C175">
        <f>IF(AND(대시보드!$A$6,대시보드!$A$10),'Raw Data'!F41,NA())</f>
        <v>9.9600000000000009</v>
      </c>
      <c r="D175">
        <f>IF(AND(대시보드!$A$6,대시보드!$A$10),'Raw Data'!G41,NA())</f>
        <v>9.0000160000000005</v>
      </c>
      <c r="E175">
        <f>'Raw Data'!G41</f>
        <v>9.0000160000000005</v>
      </c>
    </row>
    <row r="176" spans="1:5" x14ac:dyDescent="0.35">
      <c r="A176" t="s">
        <v>24</v>
      </c>
      <c r="B176" t="s">
        <v>40</v>
      </c>
      <c r="C176">
        <f>IF(AND(대시보드!$A$6,대시보드!$A$10),'Raw Data'!F42,NA())</f>
        <v>10.167999999999999</v>
      </c>
      <c r="D176">
        <f>IF(AND(대시보드!$A$6,대시보드!$A$10),'Raw Data'!G42,NA())</f>
        <v>8.9999610000000008</v>
      </c>
      <c r="E176">
        <f>'Raw Data'!G42</f>
        <v>8.9999610000000008</v>
      </c>
    </row>
    <row r="177" spans="1:5" x14ac:dyDescent="0.35">
      <c r="A177" t="s">
        <v>24</v>
      </c>
      <c r="B177" t="s">
        <v>40</v>
      </c>
      <c r="C177">
        <f>IF(AND(대시보드!$A$6,대시보드!$A$10),'Raw Data'!F43,NA())</f>
        <v>10.375999999999999</v>
      </c>
      <c r="D177">
        <f>IF(AND(대시보드!$A$6,대시보드!$A$10),'Raw Data'!G43,NA())</f>
        <v>9.0001339999999992</v>
      </c>
      <c r="E177">
        <f>'Raw Data'!G43</f>
        <v>9.0001339999999992</v>
      </c>
    </row>
    <row r="178" spans="1:5" x14ac:dyDescent="0.35">
      <c r="A178" t="s">
        <v>24</v>
      </c>
      <c r="B178" t="s">
        <v>40</v>
      </c>
      <c r="C178">
        <f>IF(AND(대시보드!$A$6,대시보드!$A$10),'Raw Data'!F44,NA())</f>
        <v>10.584</v>
      </c>
      <c r="D178">
        <f>IF(AND(대시보드!$A$6,대시보드!$A$10),'Raw Data'!G44,NA())</f>
        <v>9.0000060000000008</v>
      </c>
      <c r="E178">
        <f>'Raw Data'!G44</f>
        <v>9.0000060000000008</v>
      </c>
    </row>
    <row r="179" spans="1:5" x14ac:dyDescent="0.35">
      <c r="A179" t="s">
        <v>24</v>
      </c>
      <c r="B179" t="s">
        <v>40</v>
      </c>
      <c r="C179">
        <f>IF(AND(대시보드!$A$6,대시보드!$A$10),'Raw Data'!F45,NA())</f>
        <v>10.791</v>
      </c>
      <c r="D179">
        <f>IF(AND(대시보드!$A$6,대시보드!$A$10),'Raw Data'!G45,NA())</f>
        <v>9.0000389999999992</v>
      </c>
      <c r="E179">
        <f>'Raw Data'!G45</f>
        <v>9.0000389999999992</v>
      </c>
    </row>
    <row r="180" spans="1:5" x14ac:dyDescent="0.35">
      <c r="A180" t="s">
        <v>24</v>
      </c>
      <c r="B180" t="s">
        <v>40</v>
      </c>
      <c r="C180">
        <f>IF(AND(대시보드!$A$6,대시보드!$A$10),'Raw Data'!F46,NA())</f>
        <v>11</v>
      </c>
      <c r="D180">
        <f>IF(AND(대시보드!$A$6,대시보드!$A$10),'Raw Data'!G46,NA())</f>
        <v>9.0001510000000007</v>
      </c>
      <c r="E180">
        <f>'Raw Data'!G46</f>
        <v>9.0001510000000007</v>
      </c>
    </row>
    <row r="181" spans="1:5" x14ac:dyDescent="0.35">
      <c r="A181" t="s">
        <v>24</v>
      </c>
      <c r="B181" t="s">
        <v>40</v>
      </c>
      <c r="C181">
        <f>IF(AND(대시보드!$A$6,대시보드!$A$10),'Raw Data'!F47,NA())</f>
        <v>11.208</v>
      </c>
      <c r="D181">
        <f>IF(AND(대시보드!$A$6,대시보드!$A$10),'Raw Data'!G47,NA())</f>
        <v>9.0000739999999997</v>
      </c>
      <c r="E181">
        <f>'Raw Data'!G47</f>
        <v>9.0000739999999997</v>
      </c>
    </row>
    <row r="182" spans="1:5" x14ac:dyDescent="0.35">
      <c r="A182" t="s">
        <v>24</v>
      </c>
      <c r="B182" t="s">
        <v>40</v>
      </c>
      <c r="C182">
        <f>IF(AND(대시보드!$A$6,대시보드!$A$10),'Raw Data'!F48,NA())</f>
        <v>11.416</v>
      </c>
      <c r="D182">
        <f>IF(AND(대시보드!$A$6,대시보드!$A$10),'Raw Data'!G48,NA())</f>
        <v>8.9999990000000007</v>
      </c>
      <c r="E182">
        <f>'Raw Data'!G48</f>
        <v>8.9999990000000007</v>
      </c>
    </row>
    <row r="183" spans="1:5" x14ac:dyDescent="0.35">
      <c r="A183" t="s">
        <v>24</v>
      </c>
      <c r="B183" t="s">
        <v>40</v>
      </c>
      <c r="C183">
        <f>IF(AND(대시보드!$A$6,대시보드!$A$10),'Raw Data'!F49,NA())</f>
        <v>11.622999999999999</v>
      </c>
      <c r="D183">
        <f>IF(AND(대시보드!$A$6,대시보드!$A$10),'Raw Data'!G49,NA())</f>
        <v>9.0000719999999994</v>
      </c>
      <c r="E183">
        <f>'Raw Data'!G49</f>
        <v>9.0000719999999994</v>
      </c>
    </row>
    <row r="184" spans="1:5" x14ac:dyDescent="0.35">
      <c r="A184" t="s">
        <v>24</v>
      </c>
      <c r="B184" t="s">
        <v>40</v>
      </c>
      <c r="C184">
        <f>IF(AND(대시보드!$A$6,대시보드!$A$10),'Raw Data'!F50,NA())</f>
        <v>11.846</v>
      </c>
      <c r="D184">
        <f>IF(AND(대시보드!$A$6,대시보드!$A$10),'Raw Data'!G50,NA())</f>
        <v>8.9999929999999999</v>
      </c>
      <c r="E184">
        <f>'Raw Data'!G50</f>
        <v>8.9999929999999999</v>
      </c>
    </row>
    <row r="185" spans="1:5" x14ac:dyDescent="0.35">
      <c r="A185" t="s">
        <v>24</v>
      </c>
      <c r="B185" t="s">
        <v>40</v>
      </c>
      <c r="C185">
        <f>IF(AND(대시보드!$A$6,대시보드!$A$10),'Raw Data'!F51,NA())</f>
        <v>12.055</v>
      </c>
      <c r="D185">
        <f>IF(AND(대시보드!$A$6,대시보드!$A$10),'Raw Data'!G51,NA())</f>
        <v>9.0001420000000003</v>
      </c>
      <c r="E185">
        <f>'Raw Data'!G51</f>
        <v>9.0001420000000003</v>
      </c>
    </row>
    <row r="186" spans="1:5" x14ac:dyDescent="0.35">
      <c r="A186" t="s">
        <v>24</v>
      </c>
      <c r="B186" t="s">
        <v>40</v>
      </c>
      <c r="C186">
        <f>IF(AND(대시보드!$A$6,대시보드!$A$10),'Raw Data'!F52,NA())</f>
        <v>12.262</v>
      </c>
      <c r="D186">
        <f>IF(AND(대시보드!$A$6,대시보드!$A$10),'Raw Data'!G52,NA())</f>
        <v>9.0000440000000008</v>
      </c>
      <c r="E186">
        <f>'Raw Data'!G52</f>
        <v>9.0000440000000008</v>
      </c>
    </row>
    <row r="187" spans="1:5" x14ac:dyDescent="0.35">
      <c r="A187" t="s">
        <v>24</v>
      </c>
      <c r="B187" t="s">
        <v>40</v>
      </c>
      <c r="C187">
        <f>IF(AND(대시보드!$A$6,대시보드!$A$10),'Raw Data'!F53,NA())</f>
        <v>12.468999999999999</v>
      </c>
      <c r="D187">
        <f>IF(AND(대시보드!$A$6,대시보드!$A$10),'Raw Data'!G53,NA())</f>
        <v>9.0001139999999999</v>
      </c>
      <c r="E187">
        <f>'Raw Data'!G53</f>
        <v>9.0001139999999999</v>
      </c>
    </row>
    <row r="188" spans="1:5" x14ac:dyDescent="0.35">
      <c r="A188" t="s">
        <v>24</v>
      </c>
      <c r="B188" t="s">
        <v>40</v>
      </c>
      <c r="C188">
        <f>IF(AND(대시보드!$A$6,대시보드!$A$10),'Raw Data'!F54,NA())</f>
        <v>12.677</v>
      </c>
      <c r="D188">
        <f>IF(AND(대시보드!$A$6,대시보드!$A$10),'Raw Data'!G54,NA())</f>
        <v>9.0000699999999991</v>
      </c>
      <c r="E188">
        <f>'Raw Data'!G54</f>
        <v>9.0000699999999991</v>
      </c>
    </row>
    <row r="189" spans="1:5" x14ac:dyDescent="0.35">
      <c r="A189" t="s">
        <v>24</v>
      </c>
      <c r="B189" t="s">
        <v>40</v>
      </c>
      <c r="C189">
        <f>IF(AND(대시보드!$A$6,대시보드!$A$10),'Raw Data'!F55,NA())</f>
        <v>12.885999999999999</v>
      </c>
      <c r="D189">
        <f>IF(AND(대시보드!$A$6,대시보드!$A$10),'Raw Data'!G55,NA())</f>
        <v>9.0001680000000004</v>
      </c>
      <c r="E189">
        <f>'Raw Data'!G55</f>
        <v>9.0001680000000004</v>
      </c>
    </row>
    <row r="190" spans="1:5" x14ac:dyDescent="0.35">
      <c r="A190" t="s">
        <v>24</v>
      </c>
      <c r="B190" t="s">
        <v>41</v>
      </c>
      <c r="C190">
        <f>IF(AND(대시보드!$A$6,대시보드!$E$10),'Raw Data'!F9,NA())</f>
        <v>2.9</v>
      </c>
      <c r="D190">
        <f>IF(AND(대시보드!$A$6,대시보드!$E$10),'Raw Data'!H9,NA())</f>
        <v>1.037923E-9</v>
      </c>
      <c r="E190">
        <f>'Raw Data'!H9</f>
        <v>1.037923E-9</v>
      </c>
    </row>
    <row r="191" spans="1:5" x14ac:dyDescent="0.35">
      <c r="A191" t="s">
        <v>24</v>
      </c>
      <c r="B191" t="s">
        <v>41</v>
      </c>
      <c r="C191">
        <f>IF(AND(대시보드!$A$6,대시보드!$E$10),'Raw Data'!F10,NA())</f>
        <v>3.3940000000000001</v>
      </c>
      <c r="D191">
        <f>IF(AND(대시보드!$A$6,대시보드!$E$10),'Raw Data'!H10,NA())</f>
        <v>1.3086560000000001E-9</v>
      </c>
      <c r="E191">
        <f>'Raw Data'!H10</f>
        <v>1.3086560000000001E-9</v>
      </c>
    </row>
    <row r="192" spans="1:5" x14ac:dyDescent="0.35">
      <c r="A192" t="s">
        <v>24</v>
      </c>
      <c r="B192" t="s">
        <v>41</v>
      </c>
      <c r="C192">
        <f>IF(AND(대시보드!$A$6,대시보드!$E$10),'Raw Data'!F11,NA())</f>
        <v>3.6659999999999999</v>
      </c>
      <c r="D192">
        <f>IF(AND(대시보드!$A$6,대시보드!$E$10),'Raw Data'!H11,NA())</f>
        <v>1.412187E-10</v>
      </c>
      <c r="E192">
        <f>'Raw Data'!H11</f>
        <v>1.412187E-10</v>
      </c>
    </row>
    <row r="193" spans="1:5" x14ac:dyDescent="0.35">
      <c r="A193" t="s">
        <v>24</v>
      </c>
      <c r="B193" t="s">
        <v>41</v>
      </c>
      <c r="C193">
        <f>IF(AND(대시보드!$A$6,대시보드!$E$10),'Raw Data'!F12,NA())</f>
        <v>3.8250000000000002</v>
      </c>
      <c r="D193">
        <f>IF(AND(대시보드!$A$6,대시보드!$E$10),'Raw Data'!H12,NA())</f>
        <v>9.1900209999999998E-10</v>
      </c>
      <c r="E193">
        <f>'Raw Data'!H12</f>
        <v>9.1900209999999998E-10</v>
      </c>
    </row>
    <row r="194" spans="1:5" x14ac:dyDescent="0.35">
      <c r="A194" t="s">
        <v>24</v>
      </c>
      <c r="B194" t="s">
        <v>41</v>
      </c>
      <c r="C194">
        <f>IF(AND(대시보드!$A$6,대시보드!$E$10),'Raw Data'!F13,NA())</f>
        <v>4.0810000000000004</v>
      </c>
      <c r="D194">
        <f>IF(AND(대시보드!$A$6,대시보드!$E$10),'Raw Data'!H13,NA())</f>
        <v>1.586976E-9</v>
      </c>
      <c r="E194">
        <f>'Raw Data'!H13</f>
        <v>1.586976E-9</v>
      </c>
    </row>
    <row r="195" spans="1:5" x14ac:dyDescent="0.35">
      <c r="A195" t="s">
        <v>24</v>
      </c>
      <c r="B195" t="s">
        <v>41</v>
      </c>
      <c r="C195">
        <f>IF(AND(대시보드!$A$6,대시보드!$E$10),'Raw Data'!F14,NA())</f>
        <v>4.3070000000000004</v>
      </c>
      <c r="D195">
        <f>IF(AND(대시보드!$A$6,대시보드!$E$10),'Raw Data'!H14,NA())</f>
        <v>2.085248E-10</v>
      </c>
      <c r="E195">
        <f>'Raw Data'!H14</f>
        <v>2.085248E-10</v>
      </c>
    </row>
    <row r="196" spans="1:5" x14ac:dyDescent="0.35">
      <c r="A196" t="s">
        <v>24</v>
      </c>
      <c r="B196" t="s">
        <v>41</v>
      </c>
      <c r="C196">
        <f>IF(AND(대시보드!$A$6,대시보드!$E$10),'Raw Data'!F15,NA())</f>
        <v>4.4969999999999999</v>
      </c>
      <c r="D196">
        <f>IF(AND(대시보드!$A$6,대시보드!$E$10),'Raw Data'!H15,NA())</f>
        <v>1.3688700000000001E-9</v>
      </c>
      <c r="E196">
        <f>'Raw Data'!H15</f>
        <v>1.3688700000000001E-9</v>
      </c>
    </row>
    <row r="197" spans="1:5" x14ac:dyDescent="0.35">
      <c r="A197" t="s">
        <v>24</v>
      </c>
      <c r="B197" t="s">
        <v>41</v>
      </c>
      <c r="C197">
        <f>IF(AND(대시보드!$A$6,대시보드!$E$10),'Raw Data'!F16,NA())</f>
        <v>4.7190000000000003</v>
      </c>
      <c r="D197">
        <f>IF(AND(대시보드!$A$6,대시보드!$E$10),'Raw Data'!H16,NA())</f>
        <v>4.9848399999999995E-10</v>
      </c>
      <c r="E197">
        <f>'Raw Data'!H16</f>
        <v>4.9848399999999995E-10</v>
      </c>
    </row>
    <row r="198" spans="1:5" x14ac:dyDescent="0.35">
      <c r="A198" t="s">
        <v>24</v>
      </c>
      <c r="B198" t="s">
        <v>41</v>
      </c>
      <c r="C198">
        <f>IF(AND(대시보드!$A$6,대시보드!$E$10),'Raw Data'!F17,NA())</f>
        <v>4.9279999999999999</v>
      </c>
      <c r="D198">
        <f>IF(AND(대시보드!$A$6,대시보드!$E$10),'Raw Data'!H17,NA())</f>
        <v>1.43668E-9</v>
      </c>
      <c r="E198">
        <f>'Raw Data'!H17</f>
        <v>1.43668E-9</v>
      </c>
    </row>
    <row r="199" spans="1:5" x14ac:dyDescent="0.35">
      <c r="A199" t="s">
        <v>24</v>
      </c>
      <c r="B199" t="s">
        <v>41</v>
      </c>
      <c r="C199">
        <f>IF(AND(대시보드!$A$6,대시보드!$E$10),'Raw Data'!F18,NA())</f>
        <v>5.1349999999999998</v>
      </c>
      <c r="D199">
        <f>IF(AND(대시보드!$A$6,대시보드!$E$10),'Raw Data'!H18,NA())</f>
        <v>4.3016789999999998E-10</v>
      </c>
      <c r="E199">
        <f>'Raw Data'!H18</f>
        <v>4.3016789999999998E-10</v>
      </c>
    </row>
    <row r="200" spans="1:5" x14ac:dyDescent="0.35">
      <c r="A200" t="s">
        <v>24</v>
      </c>
      <c r="B200" t="s">
        <v>41</v>
      </c>
      <c r="C200">
        <f>IF(AND(대시보드!$A$6,대시보드!$E$10),'Raw Data'!F19,NA())</f>
        <v>5.36</v>
      </c>
      <c r="D200">
        <f>IF(AND(대시보드!$A$6,대시보드!$E$10),'Raw Data'!H19,NA())</f>
        <v>1.3233230000000001E-9</v>
      </c>
      <c r="E200">
        <f>'Raw Data'!H19</f>
        <v>1.3233230000000001E-9</v>
      </c>
    </row>
    <row r="201" spans="1:5" x14ac:dyDescent="0.35">
      <c r="A201" t="s">
        <v>24</v>
      </c>
      <c r="B201" t="s">
        <v>41</v>
      </c>
      <c r="C201">
        <f>IF(AND(대시보드!$A$6,대시보드!$E$10),'Raw Data'!F20,NA())</f>
        <v>5.5519999999999996</v>
      </c>
      <c r="D201">
        <f>IF(AND(대시보드!$A$6,대시보드!$E$10),'Raw Data'!H20,NA())</f>
        <v>1.0227379999999999E-9</v>
      </c>
      <c r="E201">
        <f>'Raw Data'!H20</f>
        <v>1.0227379999999999E-9</v>
      </c>
    </row>
    <row r="202" spans="1:5" x14ac:dyDescent="0.35">
      <c r="A202" t="s">
        <v>24</v>
      </c>
      <c r="B202" t="s">
        <v>41</v>
      </c>
      <c r="C202">
        <f>IF(AND(대시보드!$A$6,대시보드!$E$10),'Raw Data'!F21,NA())</f>
        <v>5.7750000000000004</v>
      </c>
      <c r="D202">
        <f>IF(AND(대시보드!$A$6,대시보드!$E$10),'Raw Data'!H21,NA())</f>
        <v>-6.2712039999999997E-11</v>
      </c>
      <c r="E202">
        <f>'Raw Data'!H21</f>
        <v>-6.2712039999999997E-11</v>
      </c>
    </row>
    <row r="203" spans="1:5" x14ac:dyDescent="0.35">
      <c r="A203" t="s">
        <v>24</v>
      </c>
      <c r="B203" t="s">
        <v>41</v>
      </c>
      <c r="C203">
        <f>IF(AND(대시보드!$A$6,대시보드!$E$10),'Raw Data'!F22,NA())</f>
        <v>5.9829999999999997</v>
      </c>
      <c r="D203">
        <f>IF(AND(대시보드!$A$6,대시보드!$E$10),'Raw Data'!H22,NA())</f>
        <v>1.171515E-9</v>
      </c>
      <c r="E203">
        <f>'Raw Data'!H22</f>
        <v>1.171515E-9</v>
      </c>
    </row>
    <row r="204" spans="1:5" x14ac:dyDescent="0.35">
      <c r="A204" t="s">
        <v>24</v>
      </c>
      <c r="B204" t="s">
        <v>41</v>
      </c>
      <c r="C204">
        <f>IF(AND(대시보드!$A$6,대시보드!$E$10),'Raw Data'!F23,NA())</f>
        <v>6.1890000000000001</v>
      </c>
      <c r="D204">
        <f>IF(AND(대시보드!$A$6,대시보드!$E$10),'Raw Data'!H23,NA())</f>
        <v>-1.9192509999999999E-11</v>
      </c>
      <c r="E204">
        <f>'Raw Data'!H23</f>
        <v>-1.9192509999999999E-11</v>
      </c>
    </row>
    <row r="205" spans="1:5" x14ac:dyDescent="0.35">
      <c r="A205" t="s">
        <v>24</v>
      </c>
      <c r="B205" t="s">
        <v>41</v>
      </c>
      <c r="C205">
        <f>IF(AND(대시보드!$A$6,대시보드!$E$10),'Raw Data'!F24,NA())</f>
        <v>6.399</v>
      </c>
      <c r="D205">
        <f>IF(AND(대시보드!$A$6,대시보드!$E$10),'Raw Data'!H24,NA())</f>
        <v>1.4685559999999999E-9</v>
      </c>
      <c r="E205">
        <f>'Raw Data'!H24</f>
        <v>1.4685559999999999E-9</v>
      </c>
    </row>
    <row r="206" spans="1:5" x14ac:dyDescent="0.35">
      <c r="A206" t="s">
        <v>24</v>
      </c>
      <c r="B206" t="s">
        <v>41</v>
      </c>
      <c r="C206">
        <f>IF(AND(대시보드!$A$6,대시보드!$E$10),'Raw Data'!F25,NA())</f>
        <v>6.6059999999999999</v>
      </c>
      <c r="D206">
        <f>IF(AND(대시보드!$A$6,대시보드!$E$10),'Raw Data'!H25,NA())</f>
        <v>-5.1518900000000005E-10</v>
      </c>
      <c r="E206">
        <f>'Raw Data'!H25</f>
        <v>-5.1518900000000005E-10</v>
      </c>
    </row>
    <row r="207" spans="1:5" x14ac:dyDescent="0.35">
      <c r="A207" t="s">
        <v>24</v>
      </c>
      <c r="B207" t="s">
        <v>41</v>
      </c>
      <c r="C207">
        <f>IF(AND(대시보드!$A$6,대시보드!$E$10),'Raw Data'!F26,NA())</f>
        <v>6.8120000000000003</v>
      </c>
      <c r="D207">
        <f>IF(AND(대시보드!$A$6,대시보드!$E$10),'Raw Data'!H26,NA())</f>
        <v>1.351155E-9</v>
      </c>
      <c r="E207">
        <f>'Raw Data'!H26</f>
        <v>1.351155E-9</v>
      </c>
    </row>
    <row r="208" spans="1:5" x14ac:dyDescent="0.35">
      <c r="A208" t="s">
        <v>24</v>
      </c>
      <c r="B208" t="s">
        <v>41</v>
      </c>
      <c r="C208">
        <f>IF(AND(대시보드!$A$6,대시보드!$E$10),'Raw Data'!F27,NA())</f>
        <v>7.0209999999999999</v>
      </c>
      <c r="D208">
        <f>IF(AND(대시보드!$A$6,대시보드!$E$10),'Raw Data'!H27,NA())</f>
        <v>-7.3942339999999996E-10</v>
      </c>
      <c r="E208">
        <f>'Raw Data'!H27</f>
        <v>-7.3942339999999996E-10</v>
      </c>
    </row>
    <row r="209" spans="1:5" x14ac:dyDescent="0.35">
      <c r="A209" t="s">
        <v>24</v>
      </c>
      <c r="B209" t="s">
        <v>41</v>
      </c>
      <c r="C209">
        <f>IF(AND(대시보드!$A$6,대시보드!$E$10),'Raw Data'!F28,NA())</f>
        <v>7.2290000000000001</v>
      </c>
      <c r="D209">
        <f>IF(AND(대시보드!$A$6,대시보드!$E$10),'Raw Data'!H28,NA())</f>
        <v>1.1016859999999999E-9</v>
      </c>
      <c r="E209">
        <f>'Raw Data'!H28</f>
        <v>1.1016859999999999E-9</v>
      </c>
    </row>
    <row r="210" spans="1:5" x14ac:dyDescent="0.35">
      <c r="A210" t="s">
        <v>24</v>
      </c>
      <c r="B210" t="s">
        <v>41</v>
      </c>
      <c r="C210">
        <f>IF(AND(대시보드!$A$6,대시보드!$E$10),'Raw Data'!F29,NA())</f>
        <v>7.4370000000000003</v>
      </c>
      <c r="D210">
        <f>IF(AND(대시보드!$A$6,대시보드!$E$10),'Raw Data'!H29,NA())</f>
        <v>1.129514E-9</v>
      </c>
      <c r="E210">
        <f>'Raw Data'!H29</f>
        <v>1.129514E-9</v>
      </c>
    </row>
    <row r="211" spans="1:5" x14ac:dyDescent="0.35">
      <c r="A211" t="s">
        <v>24</v>
      </c>
      <c r="B211" t="s">
        <v>41</v>
      </c>
      <c r="C211">
        <f>IF(AND(대시보드!$A$6,대시보드!$E$10),'Raw Data'!F30,NA())</f>
        <v>7.6449999999999996</v>
      </c>
      <c r="D211">
        <f>IF(AND(대시보드!$A$6,대시보드!$E$10),'Raw Data'!H30,NA())</f>
        <v>1.4503449999999999E-9</v>
      </c>
      <c r="E211">
        <f>'Raw Data'!H30</f>
        <v>1.4503449999999999E-9</v>
      </c>
    </row>
    <row r="212" spans="1:5" x14ac:dyDescent="0.35">
      <c r="A212" t="s">
        <v>24</v>
      </c>
      <c r="B212" t="s">
        <v>41</v>
      </c>
      <c r="C212">
        <f>IF(AND(대시보드!$A$6,대시보드!$E$10),'Raw Data'!F31,NA())</f>
        <v>7.8520000000000003</v>
      </c>
      <c r="D212">
        <f>IF(AND(대시보드!$A$6,대시보드!$E$10),'Raw Data'!H31,NA())</f>
        <v>-4.8127610000000001E-10</v>
      </c>
      <c r="E212">
        <f>'Raw Data'!H31</f>
        <v>-4.8127610000000001E-10</v>
      </c>
    </row>
    <row r="213" spans="1:5" x14ac:dyDescent="0.35">
      <c r="A213" t="s">
        <v>24</v>
      </c>
      <c r="B213" t="s">
        <v>41</v>
      </c>
      <c r="C213">
        <f>IF(AND(대시보드!$A$6,대시보드!$E$10),'Raw Data'!F32,NA())</f>
        <v>8.06</v>
      </c>
      <c r="D213">
        <f>IF(AND(대시보드!$A$6,대시보드!$E$10),'Raw Data'!H32,NA())</f>
        <v>1.2843659999999999E-9</v>
      </c>
      <c r="E213">
        <f>'Raw Data'!H32</f>
        <v>1.2843659999999999E-9</v>
      </c>
    </row>
    <row r="214" spans="1:5" x14ac:dyDescent="0.35">
      <c r="A214" t="s">
        <v>24</v>
      </c>
      <c r="B214" t="s">
        <v>41</v>
      </c>
      <c r="C214">
        <f>IF(AND(대시보드!$A$6,대시보드!$E$10),'Raw Data'!F33,NA())</f>
        <v>8.2680000000000007</v>
      </c>
      <c r="D214">
        <f>IF(AND(대시보드!$A$6,대시보드!$E$10),'Raw Data'!H33,NA())</f>
        <v>1.4457810000000001E-9</v>
      </c>
      <c r="E214">
        <f>'Raw Data'!H33</f>
        <v>1.4457810000000001E-9</v>
      </c>
    </row>
    <row r="215" spans="1:5" x14ac:dyDescent="0.35">
      <c r="A215" t="s">
        <v>24</v>
      </c>
      <c r="B215" t="s">
        <v>41</v>
      </c>
      <c r="C215">
        <f>IF(AND(대시보드!$A$6,대시보드!$E$10),'Raw Data'!F34,NA())</f>
        <v>8.4770000000000003</v>
      </c>
      <c r="D215">
        <f>IF(AND(대시보드!$A$6,대시보드!$E$10),'Raw Data'!H34,NA())</f>
        <v>-9.2568820000000001E-11</v>
      </c>
      <c r="E215">
        <f>'Raw Data'!H34</f>
        <v>-9.2568820000000001E-11</v>
      </c>
    </row>
    <row r="216" spans="1:5" x14ac:dyDescent="0.35">
      <c r="A216" t="s">
        <v>24</v>
      </c>
      <c r="B216" t="s">
        <v>41</v>
      </c>
      <c r="C216">
        <f>IF(AND(대시보드!$A$6,대시보드!$E$10),'Raw Data'!F35,NA())</f>
        <v>8.6989999999999998</v>
      </c>
      <c r="D216">
        <f>IF(AND(대시보드!$A$6,대시보드!$E$10),'Raw Data'!H35,NA())</f>
        <v>-3.1843290000000003E-11</v>
      </c>
      <c r="E216">
        <f>'Raw Data'!H35</f>
        <v>-3.1843290000000003E-11</v>
      </c>
    </row>
    <row r="217" spans="1:5" x14ac:dyDescent="0.35">
      <c r="A217" t="s">
        <v>24</v>
      </c>
      <c r="B217" t="s">
        <v>41</v>
      </c>
      <c r="C217">
        <f>IF(AND(대시보드!$A$6,대시보드!$E$10),'Raw Data'!F36,NA())</f>
        <v>8.9060000000000006</v>
      </c>
      <c r="D217">
        <f>IF(AND(대시보드!$A$6,대시보드!$E$10),'Raw Data'!H36,NA())</f>
        <v>1.3501459999999999E-9</v>
      </c>
      <c r="E217">
        <f>'Raw Data'!H36</f>
        <v>1.3501459999999999E-9</v>
      </c>
    </row>
    <row r="218" spans="1:5" x14ac:dyDescent="0.35">
      <c r="A218" t="s">
        <v>24</v>
      </c>
      <c r="B218" t="s">
        <v>41</v>
      </c>
      <c r="C218">
        <f>IF(AND(대시보드!$A$6,대시보드!$E$10),'Raw Data'!F37,NA())</f>
        <v>9.1140000000000008</v>
      </c>
      <c r="D218">
        <f>IF(AND(대시보드!$A$6,대시보드!$E$10),'Raw Data'!H37,NA())</f>
        <v>1.3597600000000001E-9</v>
      </c>
      <c r="E218">
        <f>'Raw Data'!H37</f>
        <v>1.3597600000000001E-9</v>
      </c>
    </row>
    <row r="219" spans="1:5" x14ac:dyDescent="0.35">
      <c r="A219" t="s">
        <v>24</v>
      </c>
      <c r="B219" t="s">
        <v>41</v>
      </c>
      <c r="C219">
        <f>IF(AND(대시보드!$A$6,대시보드!$E$10),'Raw Data'!F38,NA())</f>
        <v>9.3209999999999997</v>
      </c>
      <c r="D219">
        <f>IF(AND(대시보드!$A$6,대시보드!$E$10),'Raw Data'!H38,NA())</f>
        <v>-4.4483180000000001E-10</v>
      </c>
      <c r="E219">
        <f>'Raw Data'!H38</f>
        <v>-4.4483180000000001E-10</v>
      </c>
    </row>
    <row r="220" spans="1:5" x14ac:dyDescent="0.35">
      <c r="A220" t="s">
        <v>24</v>
      </c>
      <c r="B220" t="s">
        <v>41</v>
      </c>
      <c r="C220">
        <f>IF(AND(대시보드!$A$6,대시보드!$E$10),'Raw Data'!F39,NA())</f>
        <v>9.5449999999999999</v>
      </c>
      <c r="D220">
        <f>IF(AND(대시보드!$A$6,대시보드!$E$10),'Raw Data'!H39,NA())</f>
        <v>6.720556E-10</v>
      </c>
      <c r="E220">
        <f>'Raw Data'!H39</f>
        <v>6.720556E-10</v>
      </c>
    </row>
    <row r="221" spans="1:5" x14ac:dyDescent="0.35">
      <c r="A221" t="s">
        <v>24</v>
      </c>
      <c r="B221" t="s">
        <v>41</v>
      </c>
      <c r="C221">
        <f>IF(AND(대시보드!$A$6,대시보드!$E$10),'Raw Data'!F40,NA())</f>
        <v>9.7379999999999995</v>
      </c>
      <c r="D221">
        <f>IF(AND(대시보드!$A$6,대시보드!$E$10),'Raw Data'!H40,NA())</f>
        <v>-5.6985529999999999E-10</v>
      </c>
      <c r="E221">
        <f>'Raw Data'!H40</f>
        <v>-5.6985529999999999E-10</v>
      </c>
    </row>
    <row r="222" spans="1:5" x14ac:dyDescent="0.35">
      <c r="A222" t="s">
        <v>24</v>
      </c>
      <c r="B222" t="s">
        <v>41</v>
      </c>
      <c r="C222">
        <f>IF(AND(대시보드!$A$6,대시보드!$E$10),'Raw Data'!F41,NA())</f>
        <v>9.9600000000000009</v>
      </c>
      <c r="D222">
        <f>IF(AND(대시보드!$A$6,대시보드!$E$10),'Raw Data'!H41,NA())</f>
        <v>-5.3897930000000002E-10</v>
      </c>
      <c r="E222">
        <f>'Raw Data'!H41</f>
        <v>-5.3897930000000002E-10</v>
      </c>
    </row>
    <row r="223" spans="1:5" x14ac:dyDescent="0.35">
      <c r="A223" t="s">
        <v>24</v>
      </c>
      <c r="B223" t="s">
        <v>41</v>
      </c>
      <c r="C223">
        <f>IF(AND(대시보드!$A$6,대시보드!$E$10),'Raw Data'!F42,NA())</f>
        <v>10.167999999999999</v>
      </c>
      <c r="D223">
        <f>IF(AND(대시보드!$A$6,대시보드!$E$10),'Raw Data'!H42,NA())</f>
        <v>-3.7599219999999999E-10</v>
      </c>
      <c r="E223">
        <f>'Raw Data'!H42</f>
        <v>-3.7599219999999999E-10</v>
      </c>
    </row>
    <row r="224" spans="1:5" x14ac:dyDescent="0.35">
      <c r="A224" t="s">
        <v>24</v>
      </c>
      <c r="B224" t="s">
        <v>41</v>
      </c>
      <c r="C224">
        <f>IF(AND(대시보드!$A$6,대시보드!$E$10),'Raw Data'!F43,NA())</f>
        <v>10.375999999999999</v>
      </c>
      <c r="D224">
        <f>IF(AND(대시보드!$A$6,대시보드!$E$10),'Raw Data'!H43,NA())</f>
        <v>-7.3993090000000003E-10</v>
      </c>
      <c r="E224">
        <f>'Raw Data'!H43</f>
        <v>-7.3993090000000003E-10</v>
      </c>
    </row>
    <row r="225" spans="1:5" x14ac:dyDescent="0.35">
      <c r="A225" t="s">
        <v>24</v>
      </c>
      <c r="B225" t="s">
        <v>41</v>
      </c>
      <c r="C225">
        <f>IF(AND(대시보드!$A$6,대시보드!$E$10),'Raw Data'!F44,NA())</f>
        <v>10.584</v>
      </c>
      <c r="D225">
        <f>IF(AND(대시보드!$A$6,대시보드!$E$10),'Raw Data'!H44,NA())</f>
        <v>6.4523489999999996E-10</v>
      </c>
      <c r="E225">
        <f>'Raw Data'!H44</f>
        <v>6.4523489999999996E-10</v>
      </c>
    </row>
    <row r="226" spans="1:5" x14ac:dyDescent="0.35">
      <c r="A226" t="s">
        <v>24</v>
      </c>
      <c r="B226" t="s">
        <v>41</v>
      </c>
      <c r="C226">
        <f>IF(AND(대시보드!$A$6,대시보드!$E$10),'Raw Data'!F45,NA())</f>
        <v>10.791</v>
      </c>
      <c r="D226">
        <f>IF(AND(대시보드!$A$6,대시보드!$E$10),'Raw Data'!H45,NA())</f>
        <v>-6.5742270000000002E-10</v>
      </c>
      <c r="E226">
        <f>'Raw Data'!H45</f>
        <v>-6.5742270000000002E-10</v>
      </c>
    </row>
    <row r="227" spans="1:5" x14ac:dyDescent="0.35">
      <c r="A227" t="s">
        <v>24</v>
      </c>
      <c r="B227" t="s">
        <v>41</v>
      </c>
      <c r="C227">
        <f>IF(AND(대시보드!$A$6,대시보드!$E$10),'Raw Data'!F46,NA())</f>
        <v>11</v>
      </c>
      <c r="D227">
        <f>IF(AND(대시보드!$A$6,대시보드!$E$10),'Raw Data'!H46,NA())</f>
        <v>1.175063E-9</v>
      </c>
      <c r="E227">
        <f>'Raw Data'!H46</f>
        <v>1.175063E-9</v>
      </c>
    </row>
    <row r="228" spans="1:5" x14ac:dyDescent="0.35">
      <c r="A228" t="s">
        <v>24</v>
      </c>
      <c r="B228" t="s">
        <v>41</v>
      </c>
      <c r="C228">
        <f>IF(AND(대시보드!$A$6,대시보드!$E$10),'Raw Data'!F47,NA())</f>
        <v>11.208</v>
      </c>
      <c r="D228">
        <f>IF(AND(대시보드!$A$6,대시보드!$E$10),'Raw Data'!H47,NA())</f>
        <v>-5.4100419999999999E-10</v>
      </c>
      <c r="E228">
        <f>'Raw Data'!H47</f>
        <v>-5.4100419999999999E-10</v>
      </c>
    </row>
    <row r="229" spans="1:5" x14ac:dyDescent="0.35">
      <c r="A229" t="s">
        <v>24</v>
      </c>
      <c r="B229" t="s">
        <v>41</v>
      </c>
      <c r="C229">
        <f>IF(AND(대시보드!$A$6,대시보드!$E$10),'Raw Data'!F48,NA())</f>
        <v>11.416</v>
      </c>
      <c r="D229">
        <f>IF(AND(대시보드!$A$6,대시보드!$E$10),'Raw Data'!H48,NA())</f>
        <v>1.4012539999999999E-9</v>
      </c>
      <c r="E229">
        <f>'Raw Data'!H48</f>
        <v>1.4012539999999999E-9</v>
      </c>
    </row>
    <row r="230" spans="1:5" x14ac:dyDescent="0.35">
      <c r="A230" t="s">
        <v>24</v>
      </c>
      <c r="B230" t="s">
        <v>41</v>
      </c>
      <c r="C230">
        <f>IF(AND(대시보드!$A$6,대시보드!$E$10),'Raw Data'!F49,NA())</f>
        <v>11.622999999999999</v>
      </c>
      <c r="D230">
        <f>IF(AND(대시보드!$A$6,대시보드!$E$10),'Raw Data'!H49,NA())</f>
        <v>-8.2496629999999995E-10</v>
      </c>
      <c r="E230">
        <f>'Raw Data'!H49</f>
        <v>-8.2496629999999995E-10</v>
      </c>
    </row>
    <row r="231" spans="1:5" x14ac:dyDescent="0.35">
      <c r="A231" t="s">
        <v>24</v>
      </c>
      <c r="B231" t="s">
        <v>41</v>
      </c>
      <c r="C231">
        <f>IF(AND(대시보드!$A$6,대시보드!$E$10),'Raw Data'!F50,NA())</f>
        <v>11.846</v>
      </c>
      <c r="D231">
        <f>IF(AND(대시보드!$A$6,대시보드!$E$10),'Raw Data'!H50,NA())</f>
        <v>-4.033258E-10</v>
      </c>
      <c r="E231">
        <f>'Raw Data'!H50</f>
        <v>-4.033258E-10</v>
      </c>
    </row>
    <row r="232" spans="1:5" x14ac:dyDescent="0.35">
      <c r="A232" t="s">
        <v>24</v>
      </c>
      <c r="B232" t="s">
        <v>41</v>
      </c>
      <c r="C232">
        <f>IF(AND(대시보드!$A$6,대시보드!$E$10),'Raw Data'!F51,NA())</f>
        <v>12.055</v>
      </c>
      <c r="D232">
        <f>IF(AND(대시보드!$A$6,대시보드!$E$10),'Raw Data'!H51,NA())</f>
        <v>1.253494E-9</v>
      </c>
      <c r="E232">
        <f>'Raw Data'!H51</f>
        <v>1.253494E-9</v>
      </c>
    </row>
    <row r="233" spans="1:5" x14ac:dyDescent="0.35">
      <c r="A233" t="s">
        <v>24</v>
      </c>
      <c r="B233" t="s">
        <v>41</v>
      </c>
      <c r="C233">
        <f>IF(AND(대시보드!$A$6,대시보드!$E$10),'Raw Data'!F52,NA())</f>
        <v>12.262</v>
      </c>
      <c r="D233">
        <f>IF(AND(대시보드!$A$6,대시보드!$E$10),'Raw Data'!H52,NA())</f>
        <v>1.13761E-9</v>
      </c>
      <c r="E233">
        <f>'Raw Data'!H52</f>
        <v>1.13761E-9</v>
      </c>
    </row>
    <row r="234" spans="1:5" x14ac:dyDescent="0.35">
      <c r="A234" t="s">
        <v>24</v>
      </c>
      <c r="B234" t="s">
        <v>41</v>
      </c>
      <c r="C234">
        <f>IF(AND(대시보드!$A$6,대시보드!$E$10),'Raw Data'!F53,NA())</f>
        <v>12.468999999999999</v>
      </c>
      <c r="D234">
        <f>IF(AND(대시보드!$A$6,대시보드!$E$10),'Raw Data'!H53,NA())</f>
        <v>-7.2828720000000001E-10</v>
      </c>
      <c r="E234">
        <f>'Raw Data'!H53</f>
        <v>-7.2828720000000001E-10</v>
      </c>
    </row>
    <row r="235" spans="1:5" x14ac:dyDescent="0.35">
      <c r="A235" t="s">
        <v>24</v>
      </c>
      <c r="B235" t="s">
        <v>41</v>
      </c>
      <c r="C235">
        <f>IF(AND(대시보드!$A$6,대시보드!$E$10),'Raw Data'!F54,NA())</f>
        <v>12.677</v>
      </c>
      <c r="D235">
        <f>IF(AND(대시보드!$A$6,대시보드!$E$10),'Raw Data'!H54,NA())</f>
        <v>1.4255429999999999E-9</v>
      </c>
      <c r="E235">
        <f>'Raw Data'!H54</f>
        <v>1.4255429999999999E-9</v>
      </c>
    </row>
    <row r="236" spans="1:5" x14ac:dyDescent="0.35">
      <c r="A236" t="s">
        <v>24</v>
      </c>
      <c r="B236" t="s">
        <v>41</v>
      </c>
      <c r="C236">
        <f>IF(AND(대시보드!$A$6,대시보드!$E$10),'Raw Data'!F55,NA())</f>
        <v>12.885999999999999</v>
      </c>
      <c r="D236">
        <f>IF(AND(대시보드!$A$6,대시보드!$E$10),'Raw Data'!H55,NA())</f>
        <v>1.462991E-9</v>
      </c>
      <c r="E236">
        <f>'Raw Data'!H55</f>
        <v>1.462991E-9</v>
      </c>
    </row>
    <row r="237" spans="1:5" x14ac:dyDescent="0.35">
      <c r="A237" t="s">
        <v>24</v>
      </c>
      <c r="B237" t="s">
        <v>42</v>
      </c>
      <c r="C237">
        <f>IF(AND(대시보드!$A$6,대시보드!$J$10),'Raw Data'!F9,NA())</f>
        <v>2.9</v>
      </c>
      <c r="D237">
        <f>IF(AND(대시보드!$A$6,대시보드!$J$10),('Raw Data'!I9)*(0.00000000171393408/506450380903.8),NA())</f>
        <v>2.9345485112466092E-11</v>
      </c>
      <c r="E237">
        <f>'Raw Data'!I9</f>
        <v>8671297389.1126804</v>
      </c>
    </row>
    <row r="238" spans="1:5" x14ac:dyDescent="0.35">
      <c r="A238" t="s">
        <v>24</v>
      </c>
      <c r="B238" t="s">
        <v>42</v>
      </c>
      <c r="C238">
        <f>IF(AND(대시보드!$A$6,대시보드!$J$10),'Raw Data'!F10,NA())</f>
        <v>3.3940000000000001</v>
      </c>
      <c r="D238">
        <f>IF(AND(대시보드!$A$6,대시보드!$J$10),('Raw Data'!I10)*(0.00000000171393408/506450380903.8),NA())</f>
        <v>2.3274176183591782E-11</v>
      </c>
      <c r="E238">
        <f>'Raw Data'!I10</f>
        <v>6877286315.120245</v>
      </c>
    </row>
    <row r="239" spans="1:5" x14ac:dyDescent="0.35">
      <c r="A239" t="s">
        <v>24</v>
      </c>
      <c r="B239" t="s">
        <v>42</v>
      </c>
      <c r="C239">
        <f>IF(AND(대시보드!$A$6,대시보드!$J$10),'Raw Data'!F11,NA())</f>
        <v>3.6659999999999999</v>
      </c>
      <c r="D239">
        <f>IF(AND(대시보드!$A$6,대시보드!$J$10),('Raw Data'!I11)*(0.00000000171393408/506450380903.8),NA())</f>
        <v>2.1567458512401675E-10</v>
      </c>
      <c r="E239">
        <f>'Raw Data'!I11</f>
        <v>63729683108.540154</v>
      </c>
    </row>
    <row r="240" spans="1:5" x14ac:dyDescent="0.35">
      <c r="A240" t="s">
        <v>24</v>
      </c>
      <c r="B240" t="s">
        <v>42</v>
      </c>
      <c r="C240">
        <f>IF(AND(대시보드!$A$6,대시보드!$J$10),'Raw Data'!F12,NA())</f>
        <v>3.8250000000000002</v>
      </c>
      <c r="D240">
        <f>IF(AND(대시보드!$A$6,대시보드!$J$10),('Raw Data'!I12)*(0.00000000171393408/506450380903.8),NA())</f>
        <v>3.3142804097462017E-11</v>
      </c>
      <c r="E240">
        <f>'Raw Data'!I12</f>
        <v>9793367175.1130943</v>
      </c>
    </row>
    <row r="241" spans="1:5" x14ac:dyDescent="0.35">
      <c r="A241" t="s">
        <v>24</v>
      </c>
      <c r="B241" t="s">
        <v>42</v>
      </c>
      <c r="C241">
        <f>IF(AND(대시보드!$A$6,대시보드!$J$10),'Raw Data'!F13,NA())</f>
        <v>4.0810000000000004</v>
      </c>
      <c r="D241">
        <f>IF(AND(대시보드!$A$6,대시보드!$J$10),('Raw Data'!I13)*(0.00000000171393408/506450380903.8),NA())</f>
        <v>1.9192716851458623E-11</v>
      </c>
      <c r="E241">
        <f>'Raw Data'!I13</f>
        <v>5671255898.0098</v>
      </c>
    </row>
    <row r="242" spans="1:5" x14ac:dyDescent="0.35">
      <c r="A242" t="s">
        <v>24</v>
      </c>
      <c r="B242" t="s">
        <v>42</v>
      </c>
      <c r="C242">
        <f>IF(AND(대시보드!$A$6,대시보드!$J$10),'Raw Data'!F14,NA())</f>
        <v>4.3070000000000004</v>
      </c>
      <c r="D242">
        <f>IF(AND(대시보드!$A$6,대시보드!$J$10),('Raw Data'!I14)*(0.00000000171393408/506450380903.8),NA())</f>
        <v>1.4606464136970754E-10</v>
      </c>
      <c r="E242">
        <f>'Raw Data'!I14</f>
        <v>43160640844.638153</v>
      </c>
    </row>
    <row r="243" spans="1:5" x14ac:dyDescent="0.35">
      <c r="A243" t="s">
        <v>24</v>
      </c>
      <c r="B243" t="s">
        <v>42</v>
      </c>
      <c r="C243">
        <f>IF(AND(대시보드!$A$6,대시보드!$J$10),'Raw Data'!F15,NA())</f>
        <v>4.4969999999999999</v>
      </c>
      <c r="D243">
        <f>IF(AND(대시보드!$A$6,대시보드!$J$10),('Raw Data'!I15)*(0.00000000171393408/506450380903.8),NA())</f>
        <v>2.2250416426699825E-11</v>
      </c>
      <c r="E243">
        <f>'Raw Data'!I15</f>
        <v>6574775544.7924194</v>
      </c>
    </row>
    <row r="244" spans="1:5" x14ac:dyDescent="0.35">
      <c r="A244" t="s">
        <v>24</v>
      </c>
      <c r="B244" t="s">
        <v>42</v>
      </c>
      <c r="C244">
        <f>IF(AND(대시보드!$A$6,대시보드!$J$10),'Raw Data'!F16,NA())</f>
        <v>4.7190000000000003</v>
      </c>
      <c r="D244">
        <f>IF(AND(대시보드!$A$6,대시보드!$J$10),('Raw Data'!I16)*(0.00000000171393408/506450380903.8),NA())</f>
        <v>6.1100794561471052E-11</v>
      </c>
      <c r="E244">
        <f>'Raw Data'!I16</f>
        <v>18054673770.873291</v>
      </c>
    </row>
    <row r="245" spans="1:5" x14ac:dyDescent="0.35">
      <c r="A245" t="s">
        <v>24</v>
      </c>
      <c r="B245" t="s">
        <v>42</v>
      </c>
      <c r="C245">
        <f>IF(AND(대시보드!$A$6,대시보드!$J$10),'Raw Data'!F17,NA())</f>
        <v>4.9279999999999999</v>
      </c>
      <c r="D245">
        <f>IF(AND(대시보드!$A$6,대시보드!$J$10),('Raw Data'!I17)*(0.00000000171393408/506450380903.8),NA())</f>
        <v>2.1200259243383128E-11</v>
      </c>
      <c r="E245">
        <f>'Raw Data'!I17</f>
        <v>6264464598.9364367</v>
      </c>
    </row>
    <row r="246" spans="1:5" x14ac:dyDescent="0.35">
      <c r="A246" t="s">
        <v>24</v>
      </c>
      <c r="B246" t="s">
        <v>42</v>
      </c>
      <c r="C246">
        <f>IF(AND(대시보드!$A$6,대시보드!$J$10),'Raw Data'!F18,NA())</f>
        <v>5.1349999999999998</v>
      </c>
      <c r="D246">
        <f>IF(AND(대시보드!$A$6,대시보드!$J$10),('Raw Data'!I18)*(0.00000000171393408/506450380903.8),NA())</f>
        <v>7.0805694760905527E-11</v>
      </c>
      <c r="E246">
        <f>'Raw Data'!I18</f>
        <v>20922374728.565289</v>
      </c>
    </row>
    <row r="247" spans="1:5" x14ac:dyDescent="0.35">
      <c r="A247" t="s">
        <v>24</v>
      </c>
      <c r="B247" t="s">
        <v>42</v>
      </c>
      <c r="C247">
        <f>IF(AND(대시보드!$A$6,대시보드!$J$10),'Raw Data'!F19,NA())</f>
        <v>5.36</v>
      </c>
      <c r="D247">
        <f>IF(AND(대시보드!$A$6,대시보드!$J$10),('Raw Data'!I19)*(0.00000000171393408/506450380903.8),NA())</f>
        <v>2.3015982462679581E-11</v>
      </c>
      <c r="E247">
        <f>'Raw Data'!I19</f>
        <v>6800992652.5874634</v>
      </c>
    </row>
    <row r="248" spans="1:5" x14ac:dyDescent="0.35">
      <c r="A248" t="s">
        <v>24</v>
      </c>
      <c r="B248" t="s">
        <v>42</v>
      </c>
      <c r="C248">
        <f>IF(AND(대시보드!$A$6,대시보드!$J$10),'Raw Data'!F20,NA())</f>
        <v>5.5519999999999996</v>
      </c>
      <c r="D248">
        <f>IF(AND(대시보드!$A$6,대시보드!$J$10),('Raw Data'!I20)*(0.00000000171393408/506450380903.8),NA())</f>
        <v>2.9780894764602504E-11</v>
      </c>
      <c r="E248">
        <f>'Raw Data'!I20</f>
        <v>8799956587.1220207</v>
      </c>
    </row>
    <row r="249" spans="1:5" x14ac:dyDescent="0.35">
      <c r="A249" t="s">
        <v>24</v>
      </c>
      <c r="B249" t="s">
        <v>42</v>
      </c>
      <c r="C249">
        <f>IF(AND(대시보드!$A$6,대시보드!$J$10),'Raw Data'!F21,NA())</f>
        <v>5.7750000000000004</v>
      </c>
      <c r="D249">
        <f>IF(AND(대시보드!$A$6,대시보드!$J$10),('Raw Data'!I21)*(0.00000000171393408/506450380903.8),NA())</f>
        <v>-4.8567446525449222E-10</v>
      </c>
      <c r="E249">
        <f>'Raw Data'!I21</f>
        <v>-143511947626.0061</v>
      </c>
    </row>
    <row r="250" spans="1:5" x14ac:dyDescent="0.35">
      <c r="A250" t="s">
        <v>24</v>
      </c>
      <c r="B250" t="s">
        <v>42</v>
      </c>
      <c r="C250">
        <f>IF(AND(대시보드!$A$6,대시보드!$J$10),'Raw Data'!F22,NA())</f>
        <v>5.9829999999999997</v>
      </c>
      <c r="D250">
        <f>IF(AND(대시보드!$A$6,대시보드!$J$10),('Raw Data'!I22)*(0.00000000171393408/506450380903.8),NA())</f>
        <v>2.5998927859039624E-11</v>
      </c>
      <c r="E250">
        <f>'Raw Data'!I22</f>
        <v>7682423187.0697346</v>
      </c>
    </row>
    <row r="251" spans="1:5" x14ac:dyDescent="0.35">
      <c r="A251" t="s">
        <v>24</v>
      </c>
      <c r="B251" t="s">
        <v>42</v>
      </c>
      <c r="C251">
        <f>IF(AND(대시보드!$A$6,대시보드!$J$10),'Raw Data'!F23,NA())</f>
        <v>6.1890000000000001</v>
      </c>
      <c r="D251">
        <f>IF(AND(대시보드!$A$6,대시보드!$J$10),('Raw Data'!I23)*(0.00000000171393408/506450380903.8),NA())</f>
        <v>-1.5869760000000019E-9</v>
      </c>
      <c r="E251">
        <f>'Raw Data'!I23</f>
        <v>-468935537873.8894</v>
      </c>
    </row>
    <row r="252" spans="1:5" x14ac:dyDescent="0.35">
      <c r="A252" t="s">
        <v>24</v>
      </c>
      <c r="B252" t="s">
        <v>42</v>
      </c>
      <c r="C252">
        <f>IF(AND(대시보드!$A$6,대시보드!$J$10),'Raw Data'!F24,NA())</f>
        <v>6.399</v>
      </c>
      <c r="D252">
        <f>IF(AND(대시보드!$A$6,대시보드!$J$10),('Raw Data'!I24)*(0.00000000171393408/506450380903.8),NA())</f>
        <v>2.0740090991133055E-11</v>
      </c>
      <c r="E252">
        <f>'Raw Data'!I24</f>
        <v>6128489482.1852226</v>
      </c>
    </row>
    <row r="253" spans="1:5" x14ac:dyDescent="0.35">
      <c r="A253" t="s">
        <v>24</v>
      </c>
      <c r="B253" t="s">
        <v>42</v>
      </c>
      <c r="C253">
        <f>IF(AND(대시보드!$A$6,대시보드!$J$10),'Raw Data'!F25,NA())</f>
        <v>6.6059999999999999</v>
      </c>
      <c r="D253">
        <f>IF(AND(대시보드!$A$6,대시보드!$J$10),('Raw Data'!I25)*(0.00000000171393408/506450380903.8),NA())</f>
        <v>-5.9120153477190003E-11</v>
      </c>
      <c r="E253">
        <f>'Raw Data'!I25</f>
        <v>-17469414137.33601</v>
      </c>
    </row>
    <row r="254" spans="1:5" x14ac:dyDescent="0.35">
      <c r="A254" t="s">
        <v>24</v>
      </c>
      <c r="B254" t="s">
        <v>42</v>
      </c>
      <c r="C254">
        <f>IF(AND(대시보드!$A$6,대시보드!$J$10),'Raw Data'!F26,NA())</f>
        <v>6.8120000000000003</v>
      </c>
      <c r="D254">
        <f>IF(AND(대시보드!$A$6,대시보드!$J$10),('Raw Data'!I26)*(0.00000000171393408/506450380903.8),NA())</f>
        <v>2.2542289524417435E-11</v>
      </c>
      <c r="E254">
        <f>'Raw Data'!I26</f>
        <v>6661021126.3696613</v>
      </c>
    </row>
    <row r="255" spans="1:5" x14ac:dyDescent="0.35">
      <c r="A255" t="s">
        <v>24</v>
      </c>
      <c r="B255" t="s">
        <v>42</v>
      </c>
      <c r="C255">
        <f>IF(AND(대시보드!$A$6,대시보드!$J$10),'Raw Data'!F27,NA())</f>
        <v>7.0209999999999999</v>
      </c>
      <c r="D255">
        <f>IF(AND(대시보드!$A$6,대시보드!$J$10),('Raw Data'!I27)*(0.00000000171393408/506450380903.8),NA())</f>
        <v>-4.1191677158258897E-11</v>
      </c>
      <c r="E255">
        <f>'Raw Data'!I27</f>
        <v>-12171728673.99111</v>
      </c>
    </row>
    <row r="256" spans="1:5" x14ac:dyDescent="0.35">
      <c r="A256" t="s">
        <v>24</v>
      </c>
      <c r="B256" t="s">
        <v>42</v>
      </c>
      <c r="C256">
        <f>IF(AND(대시보드!$A$6,대시보드!$J$10),'Raw Data'!F28,NA())</f>
        <v>7.2290000000000001</v>
      </c>
      <c r="D256">
        <f>IF(AND(대시보드!$A$6,대시보드!$J$10),('Raw Data'!I28)*(0.00000000171393408/506450380903.8),NA())</f>
        <v>2.7646831494967022E-11</v>
      </c>
      <c r="E256">
        <f>'Raw Data'!I28</f>
        <v>8169362232.0697546</v>
      </c>
    </row>
    <row r="257" spans="1:5" x14ac:dyDescent="0.35">
      <c r="A257" t="s">
        <v>24</v>
      </c>
      <c r="B257" t="s">
        <v>42</v>
      </c>
      <c r="C257">
        <f>IF(AND(대시보드!$A$6,대시보드!$J$10),'Raw Data'!F29,NA())</f>
        <v>7.4370000000000003</v>
      </c>
      <c r="D257">
        <f>IF(AND(대시보드!$A$6,대시보드!$J$10),('Raw Data'!I29)*(0.00000000171393408/506450380903.8),NA())</f>
        <v>2.6965731453602974E-11</v>
      </c>
      <c r="E257">
        <f>'Raw Data'!I29</f>
        <v>7968103981.00422</v>
      </c>
    </row>
    <row r="258" spans="1:5" x14ac:dyDescent="0.35">
      <c r="A258" t="s">
        <v>24</v>
      </c>
      <c r="B258" t="s">
        <v>42</v>
      </c>
      <c r="C258">
        <f>IF(AND(대시보드!$A$6,대시보드!$J$10),'Raw Data'!F30,NA())</f>
        <v>7.6449999999999996</v>
      </c>
      <c r="D258">
        <f>IF(AND(대시보드!$A$6,대시보드!$J$10),('Raw Data'!I30)*(0.00000000171393408/506450380903.8),NA())</f>
        <v>2.1000505601878052E-11</v>
      </c>
      <c r="E258">
        <f>'Raw Data'!I30</f>
        <v>6205439395.4541845</v>
      </c>
    </row>
    <row r="259" spans="1:5" x14ac:dyDescent="0.35">
      <c r="A259" t="s">
        <v>24</v>
      </c>
      <c r="B259" t="s">
        <v>42</v>
      </c>
      <c r="C259">
        <f>IF(AND(대시보드!$A$6,대시보드!$J$10),'Raw Data'!F31,NA())</f>
        <v>7.8520000000000003</v>
      </c>
      <c r="D259">
        <f>IF(AND(대시보드!$A$6,대시보드!$J$10),('Raw Data'!I31)*(0.00000000171393408/506450380903.8),NA())</f>
        <v>-6.3286478051069024E-11</v>
      </c>
      <c r="E259">
        <f>'Raw Data'!I31</f>
        <v>-18700521384.710361</v>
      </c>
    </row>
    <row r="260" spans="1:5" x14ac:dyDescent="0.35">
      <c r="A260" t="s">
        <v>24</v>
      </c>
      <c r="B260" t="s">
        <v>42</v>
      </c>
      <c r="C260">
        <f>IF(AND(대시보드!$A$6,대시보드!$J$10),'Raw Data'!F32,NA())</f>
        <v>8.06</v>
      </c>
      <c r="D260">
        <f>IF(AND(대시보드!$A$6,대시보드!$J$10),('Raw Data'!I32)*(0.00000000171393408/506450380903.8),NA())</f>
        <v>2.3714499406306849E-11</v>
      </c>
      <c r="E260">
        <f>'Raw Data'!I32</f>
        <v>7007397424.0987387</v>
      </c>
    </row>
    <row r="261" spans="1:5" x14ac:dyDescent="0.35">
      <c r="A261" t="s">
        <v>24</v>
      </c>
      <c r="B261" t="s">
        <v>42</v>
      </c>
      <c r="C261">
        <f>IF(AND(대시보드!$A$6,대시보드!$J$10),'Raw Data'!F33,NA())</f>
        <v>8.2680000000000007</v>
      </c>
      <c r="D261">
        <f>IF(AND(대시보드!$A$6,대시보드!$J$10),('Raw Data'!I33)*(0.00000000171393408/506450380903.8),NA())</f>
        <v>2.1066820462462413E-11</v>
      </c>
      <c r="E261">
        <f>'Raw Data'!I33</f>
        <v>6225034773.5929585</v>
      </c>
    </row>
    <row r="262" spans="1:5" x14ac:dyDescent="0.35">
      <c r="A262" t="s">
        <v>24</v>
      </c>
      <c r="B262" t="s">
        <v>42</v>
      </c>
      <c r="C262">
        <f>IF(AND(대시보드!$A$6,대시보드!$J$10),'Raw Data'!F34,NA())</f>
        <v>8.4770000000000003</v>
      </c>
      <c r="D262">
        <f>IF(AND(대시보드!$A$6,대시보드!$J$10),('Raw Data'!I34)*(0.00000000171393408/506450380903.8),NA())</f>
        <v>-3.2902504874898106E-10</v>
      </c>
      <c r="E262">
        <f>'Raw Data'!I34</f>
        <v>-97223611578.931213</v>
      </c>
    </row>
    <row r="263" spans="1:5" x14ac:dyDescent="0.35">
      <c r="A263" t="s">
        <v>24</v>
      </c>
      <c r="B263" t="s">
        <v>42</v>
      </c>
      <c r="C263">
        <f>IF(AND(대시보드!$A$6,대시보드!$J$10),'Raw Data'!F35,NA())</f>
        <v>8.6989999999999998</v>
      </c>
      <c r="D263">
        <f>IF(AND(대시보드!$A$6,대시보드!$J$10),('Raw Data'!I35)*(0.00000000171393408/506450380903.8),NA())</f>
        <v>-9.5648937268040863E-10</v>
      </c>
      <c r="E263">
        <f>'Raw Data'!I35</f>
        <v>-282633044512.67438</v>
      </c>
    </row>
    <row r="264" spans="1:5" x14ac:dyDescent="0.35">
      <c r="A264" t="s">
        <v>24</v>
      </c>
      <c r="B264" t="s">
        <v>42</v>
      </c>
      <c r="C264">
        <f>IF(AND(대시보드!$A$6,대시보드!$J$10),'Raw Data'!F36,NA())</f>
        <v>8.9060000000000006</v>
      </c>
      <c r="D264">
        <f>IF(AND(대시보드!$A$6,대시보드!$J$10),('Raw Data'!I36)*(0.00000000171393408/506450380903.8),NA())</f>
        <v>2.2559140989776515E-11</v>
      </c>
      <c r="E264">
        <f>'Raw Data'!I36</f>
        <v>6666000565.8647289</v>
      </c>
    </row>
    <row r="265" spans="1:5" x14ac:dyDescent="0.35">
      <c r="A265" t="s">
        <v>24</v>
      </c>
      <c r="B265" t="s">
        <v>42</v>
      </c>
      <c r="C265">
        <f>IF(AND(대시보드!$A$6,대시보드!$J$10),'Raw Data'!F37,NA())</f>
        <v>9.1140000000000008</v>
      </c>
      <c r="D265">
        <f>IF(AND(대시보드!$A$6,대시보드!$J$10),('Raw Data'!I37)*(0.00000000171393408/506450380903.8),NA())</f>
        <v>2.2399647087287938E-11</v>
      </c>
      <c r="E265">
        <f>'Raw Data'!I37</f>
        <v>6618871712.6551733</v>
      </c>
    </row>
    <row r="266" spans="1:5" x14ac:dyDescent="0.35">
      <c r="A266" t="s">
        <v>24</v>
      </c>
      <c r="B266" t="s">
        <v>42</v>
      </c>
      <c r="C266">
        <f>IF(AND(대시보드!$A$6,대시보드!$J$10),'Raw Data'!F38,NA())</f>
        <v>9.3209999999999997</v>
      </c>
      <c r="D266">
        <f>IF(AND(대시보드!$A$6,대시보드!$J$10),('Raw Data'!I38)*(0.00000000171393408/506450380903.8),NA())</f>
        <v>-6.8471049346494535E-11</v>
      </c>
      <c r="E266">
        <f>'Raw Data'!I38</f>
        <v>-20232510355.599579</v>
      </c>
    </row>
    <row r="267" spans="1:5" x14ac:dyDescent="0.35">
      <c r="A267" t="s">
        <v>24</v>
      </c>
      <c r="B267" t="s">
        <v>42</v>
      </c>
      <c r="C267">
        <f>IF(AND(대시보드!$A$6,대시보드!$J$10),'Raw Data'!F39,NA())</f>
        <v>9.5449999999999999</v>
      </c>
      <c r="D267">
        <f>IF(AND(대시보드!$A$6,대시보드!$J$10),('Raw Data'!I39)*(0.00000000171393408/506450380903.8),NA())</f>
        <v>4.5321010465905738E-11</v>
      </c>
      <c r="E267">
        <f>'Raw Data'!I39</f>
        <v>13391905372.115049</v>
      </c>
    </row>
    <row r="268" spans="1:5" x14ac:dyDescent="0.35">
      <c r="A268" t="s">
        <v>24</v>
      </c>
      <c r="B268" t="s">
        <v>42</v>
      </c>
      <c r="C268">
        <f>IF(AND(대시보드!$A$6,대시보드!$J$10),'Raw Data'!F40,NA())</f>
        <v>9.7379999999999995</v>
      </c>
      <c r="D268">
        <f>IF(AND(대시보드!$A$6,대시보드!$J$10),('Raw Data'!I40)*(0.00000000171393408/506450380903.8),NA())</f>
        <v>-5.3448808130507591E-11</v>
      </c>
      <c r="E268">
        <f>'Raw Data'!I40</f>
        <v>-15793588302.153191</v>
      </c>
    </row>
    <row r="269" spans="1:5" x14ac:dyDescent="0.35">
      <c r="A269" t="s">
        <v>24</v>
      </c>
      <c r="B269" t="s">
        <v>42</v>
      </c>
      <c r="C269">
        <f>IF(AND(대시보드!$A$6,대시보드!$J$10),'Raw Data'!F41,NA())</f>
        <v>9.9600000000000009</v>
      </c>
      <c r="D269">
        <f>IF(AND(대시보드!$A$6,대시보드!$J$10),('Raw Data'!I41)*(0.00000000171393408/506450380903.8),NA())</f>
        <v>-5.6510403435984335E-11</v>
      </c>
      <c r="E269">
        <f>'Raw Data'!I41</f>
        <v>-16698259098.262211</v>
      </c>
    </row>
    <row r="270" spans="1:5" x14ac:dyDescent="0.35">
      <c r="A270" t="s">
        <v>24</v>
      </c>
      <c r="B270" t="s">
        <v>42</v>
      </c>
      <c r="C270">
        <f>IF(AND(대시보드!$A$6,대시보드!$J$10),'Raw Data'!F42,NA())</f>
        <v>10.167999999999999</v>
      </c>
      <c r="D270">
        <f>IF(AND(대시보드!$A$6,대시보드!$J$10),('Raw Data'!I42)*(0.00000000171393408/506450380903.8),NA())</f>
        <v>-8.1006338841959815E-11</v>
      </c>
      <c r="E270">
        <f>'Raw Data'!I42</f>
        <v>-23936563045.722759</v>
      </c>
    </row>
    <row r="271" spans="1:5" x14ac:dyDescent="0.35">
      <c r="A271" t="s">
        <v>24</v>
      </c>
      <c r="B271" t="s">
        <v>42</v>
      </c>
      <c r="C271">
        <f>IF(AND(대시보드!$A$6,대시보드!$J$10),'Raw Data'!F43,NA())</f>
        <v>10.375999999999999</v>
      </c>
      <c r="D271">
        <f>IF(AND(대시보드!$A$6,대시보드!$J$10),('Raw Data'!I43)*(0.00000000171393408/506450380903.8),NA())</f>
        <v>-4.1163758701440559E-11</v>
      </c>
      <c r="E271">
        <f>'Raw Data'!I43</f>
        <v>-12163479049.192301</v>
      </c>
    </row>
    <row r="272" spans="1:5" x14ac:dyDescent="0.35">
      <c r="A272" t="s">
        <v>24</v>
      </c>
      <c r="B272" t="s">
        <v>42</v>
      </c>
      <c r="C272">
        <f>IF(AND(대시보드!$A$6,대시보드!$J$10),'Raw Data'!F44,NA())</f>
        <v>10.584</v>
      </c>
      <c r="D272">
        <f>IF(AND(대시보드!$A$6,대시보드!$J$10),('Raw Data'!I44)*(0.00000000171393408/506450380903.8),NA())</f>
        <v>4.720436517701012E-11</v>
      </c>
      <c r="E272">
        <f>'Raw Data'!I44</f>
        <v>13948417855.264799</v>
      </c>
    </row>
    <row r="273" spans="1:5" x14ac:dyDescent="0.35">
      <c r="A273" t="s">
        <v>24</v>
      </c>
      <c r="B273" t="s">
        <v>42</v>
      </c>
      <c r="C273">
        <f>IF(AND(대시보드!$A$6,대시보드!$J$10),'Raw Data'!F45,NA())</f>
        <v>10.791</v>
      </c>
      <c r="D273">
        <f>IF(AND(대시보드!$A$6,대시보드!$J$10),('Raw Data'!I45)*(0.00000000171393408/506450380903.8),NA())</f>
        <v>-4.6329424772612697E-11</v>
      </c>
      <c r="E273">
        <f>'Raw Data'!I45</f>
        <v>-13689881715.37125</v>
      </c>
    </row>
    <row r="274" spans="1:5" x14ac:dyDescent="0.35">
      <c r="A274" t="s">
        <v>24</v>
      </c>
      <c r="B274" t="s">
        <v>42</v>
      </c>
      <c r="C274">
        <f>IF(AND(대시보드!$A$6,대시보드!$J$10),'Raw Data'!F46,NA())</f>
        <v>11</v>
      </c>
      <c r="D274">
        <f>IF(AND(대시보드!$A$6,대시보드!$J$10),('Raw Data'!I46)*(0.00000000171393408/506450380903.8),NA())</f>
        <v>2.592064813111938E-11</v>
      </c>
      <c r="E274">
        <f>'Raw Data'!I46</f>
        <v>7659292310.2846403</v>
      </c>
    </row>
    <row r="275" spans="1:5" x14ac:dyDescent="0.35">
      <c r="A275" t="s">
        <v>24</v>
      </c>
      <c r="B275" t="s">
        <v>42</v>
      </c>
      <c r="C275">
        <f>IF(AND(대시보드!$A$6,대시보드!$J$10),'Raw Data'!F47,NA())</f>
        <v>11.208</v>
      </c>
      <c r="D275">
        <f>IF(AND(대시보드!$A$6,대시보드!$J$10),('Raw Data'!I47)*(0.00000000171393408/506450380903.8),NA())</f>
        <v>-5.6299256033100678E-11</v>
      </c>
      <c r="E275">
        <f>'Raw Data'!I47</f>
        <v>-16635867152.23283</v>
      </c>
    </row>
    <row r="276" spans="1:5" x14ac:dyDescent="0.35">
      <c r="A276" t="s">
        <v>24</v>
      </c>
      <c r="B276" t="s">
        <v>42</v>
      </c>
      <c r="C276">
        <f>IF(AND(대시보드!$A$6,대시보드!$J$10),'Raw Data'!F48,NA())</f>
        <v>11.416</v>
      </c>
      <c r="D276">
        <f>IF(AND(대시보드!$A$6,대시보드!$J$10),('Raw Data'!I48)*(0.00000000171393408/506450380903.8),NA())</f>
        <v>2.1736159293808721E-11</v>
      </c>
      <c r="E276">
        <f>'Raw Data'!I48</f>
        <v>6422817704.7130651</v>
      </c>
    </row>
    <row r="277" spans="1:5" x14ac:dyDescent="0.35">
      <c r="A277" t="s">
        <v>24</v>
      </c>
      <c r="B277" t="s">
        <v>42</v>
      </c>
      <c r="C277">
        <f>IF(AND(대시보드!$A$6,대시보드!$J$10),'Raw Data'!F49,NA())</f>
        <v>11.622999999999999</v>
      </c>
      <c r="D277">
        <f>IF(AND(대시보드!$A$6,대시보드!$J$10),('Raw Data'!I49)*(0.00000000171393408/506450380903.8),NA())</f>
        <v>-3.6920450207922705E-11</v>
      </c>
      <c r="E277">
        <f>'Raw Data'!I49</f>
        <v>-10909623823.421631</v>
      </c>
    </row>
    <row r="278" spans="1:5" x14ac:dyDescent="0.35">
      <c r="A278" t="s">
        <v>24</v>
      </c>
      <c r="B278" t="s">
        <v>42</v>
      </c>
      <c r="C278">
        <f>IF(AND(대시보드!$A$6,대시보드!$J$10),'Raw Data'!F50,NA())</f>
        <v>11.846</v>
      </c>
      <c r="D278">
        <f>IF(AND(대시보드!$A$6,대시보드!$J$10),('Raw Data'!I50)*(0.00000000171393408/506450380903.8),NA())</f>
        <v>-7.5516765478010449E-11</v>
      </c>
      <c r="E278">
        <f>'Raw Data'!I50</f>
        <v>-22314449013.675789</v>
      </c>
    </row>
    <row r="279" spans="1:5" x14ac:dyDescent="0.35">
      <c r="A279" t="s">
        <v>24</v>
      </c>
      <c r="B279" t="s">
        <v>42</v>
      </c>
      <c r="C279">
        <f>IF(AND(대시보드!$A$6,대시보드!$J$10),'Raw Data'!F51,NA())</f>
        <v>12.055</v>
      </c>
      <c r="D279">
        <f>IF(AND(대시보드!$A$6,대시보드!$J$10),('Raw Data'!I51)*(0.00000000171393408/506450380903.8),NA())</f>
        <v>2.429877135192828E-11</v>
      </c>
      <c r="E279">
        <f>'Raw Data'!I51</f>
        <v>7180043941.1756258</v>
      </c>
    </row>
    <row r="280" spans="1:5" x14ac:dyDescent="0.35">
      <c r="A280" t="s">
        <v>24</v>
      </c>
      <c r="B280" t="s">
        <v>42</v>
      </c>
      <c r="C280">
        <f>IF(AND(대시보드!$A$6,대시보드!$J$10),'Raw Data'!F52,NA())</f>
        <v>12.262</v>
      </c>
      <c r="D280">
        <f>IF(AND(대시보드!$A$6,대시보드!$J$10),('Raw Data'!I52)*(0.00000000171393408/506450380903.8),NA())</f>
        <v>2.6773703153545014E-11</v>
      </c>
      <c r="E280">
        <f>'Raw Data'!I52</f>
        <v>7911361538.6643934</v>
      </c>
    </row>
    <row r="281" spans="1:5" x14ac:dyDescent="0.35">
      <c r="A281" t="s">
        <v>24</v>
      </c>
      <c r="B281" t="s">
        <v>42</v>
      </c>
      <c r="C281">
        <f>IF(AND(대시보드!$A$6,대시보드!$J$10),'Raw Data'!F53,NA())</f>
        <v>12.468999999999999</v>
      </c>
      <c r="D281">
        <f>IF(AND(대시보드!$A$6,대시보드!$J$10),('Raw Data'!I53)*(0.00000000171393408/506450380903.8),NA())</f>
        <v>-4.1821783136040423E-11</v>
      </c>
      <c r="E281">
        <f>'Raw Data'!I53</f>
        <v>-12357918689.220409</v>
      </c>
    </row>
    <row r="282" spans="1:5" x14ac:dyDescent="0.35">
      <c r="A282" t="s">
        <v>24</v>
      </c>
      <c r="B282" t="s">
        <v>42</v>
      </c>
      <c r="C282">
        <f>IF(AND(대시보드!$A$6,대시보드!$J$10),'Raw Data'!F54,NA())</f>
        <v>12.677</v>
      </c>
      <c r="D282">
        <f>IF(AND(대시보드!$A$6,대시보드!$J$10),('Raw Data'!I54)*(0.00000000171393408/506450380903.8),NA())</f>
        <v>2.1365978040610262E-11</v>
      </c>
      <c r="E282">
        <f>'Raw Data'!I54</f>
        <v>6313432846.2908516</v>
      </c>
    </row>
    <row r="283" spans="1:5" x14ac:dyDescent="0.35">
      <c r="A283" t="s">
        <v>24</v>
      </c>
      <c r="B283" t="s">
        <v>42</v>
      </c>
      <c r="C283">
        <f>IF(AND(대시보드!$A$6,대시보드!$J$10),'Raw Data'!F55,NA())</f>
        <v>12.885999999999999</v>
      </c>
      <c r="D283">
        <f>IF(AND(대시보드!$A$6,대시보드!$J$10),('Raw Data'!I55)*(0.00000000171393408/506450380903.8),NA())</f>
        <v>2.0819302433477256E-11</v>
      </c>
      <c r="E283">
        <f>'Raw Data'!I55</f>
        <v>6151895671.2652369</v>
      </c>
    </row>
    <row r="286" spans="1:5" x14ac:dyDescent="0.35">
      <c r="A286" t="str">
        <f>대시보드!$C$5</f>
        <v>a</v>
      </c>
      <c r="C286" t="e">
        <f>NA()</f>
        <v>#N/A</v>
      </c>
      <c r="D286" t="e">
        <f>NA()</f>
        <v>#N/A</v>
      </c>
    </row>
    <row r="287" spans="1:5" x14ac:dyDescent="0.35">
      <c r="A287" t="str">
        <f>대시보드!$C$6</f>
        <v>b</v>
      </c>
      <c r="C287" t="e">
        <f>NA()</f>
        <v>#N/A</v>
      </c>
      <c r="D287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대시보드</vt:lpstr>
      <vt:lpstr>Raw Data</vt:lpstr>
      <vt:lpstr>_ChartData</vt:lpstr>
      <vt:lpstr>대시보드!Print_Area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Keithley 2400 Interactive Test Dashboard</dc:title>
  <dc:subject/>
  <dc:creator>JONG-PIL KIM</dc:creator>
  <cp:keywords/>
  <dc:description>Dashboard template linked to Raw Data. Preserve workbook structure when updating data.</dc:description>
  <cp:lastModifiedBy>JONG-PIL KIM</cp:lastModifiedBy>
  <cp:revision/>
  <dcterms:created xsi:type="dcterms:W3CDTF">2026-08-27T03:55:08Z</dcterms:created>
  <dcterms:modified xsi:type="dcterms:W3CDTF">2026-08-27T04:06:24Z</dcterms:modified>
  <cp:category/>
  <cp:contentStatus/>
</cp:coreProperties>
</file>